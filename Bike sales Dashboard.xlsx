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D:\New folder\"/>
    </mc:Choice>
  </mc:AlternateContent>
  <xr:revisionPtr revIDLastSave="0" documentId="8_{9C15FF7B-DCC8-42FA-B78E-8776DC2E673C}" xr6:coauthVersionLast="47" xr6:coauthVersionMax="47" xr10:uidLastSave="{00000000-0000-0000-0000-000000000000}"/>
  <bookViews>
    <workbookView xWindow="-108" yWindow="-108" windowWidth="23256" windowHeight="12456" firstSheet="1" activeTab="3" xr2:uid="{00000000-000D-0000-FFFF-FFFF00000000}"/>
  </bookViews>
  <sheets>
    <sheet name="bike_buyers" sheetId="1" r:id="rId1"/>
    <sheet name="Pivot" sheetId="2" r:id="rId2"/>
    <sheet name="Working Sheet" sheetId="3" r:id="rId3"/>
    <sheet name="Dashboard" sheetId="4" r:id="rId4"/>
  </sheets>
  <definedNames>
    <definedName name="_xlnm._FilterDatabase" localSheetId="0" hidden="1">bike_buyers!$A$1:$M$1001</definedName>
    <definedName name="_xlnm._FilterDatabase" localSheetId="2" hidden="1">'Working Sheet'!$A$1:$N$1001</definedName>
    <definedName name="Slicer_Education">#N/A</definedName>
    <definedName name="Slicer_Martital_Status">#N/A</definedName>
    <definedName name="Slicer_Region">#N/A</definedName>
  </definedNames>
  <calcPr calcId="191029"/>
  <pivotCaches>
    <pivotCache cacheId="3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3" l="1"/>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alcChain>
</file>

<file path=xl/sharedStrings.xml><?xml version="1.0" encoding="utf-8"?>
<sst xmlns="http://schemas.openxmlformats.org/spreadsheetml/2006/main" count="16274" uniqueCount="52">
  <si>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</si>
  <si>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</si>
  <si>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</si>
  <si>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</si>
  <si>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</si>
  <si>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</si>
  <si>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</si>
  <si>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</si>
  <si>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</si>
  <si>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</si>
  <si>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</si>
  <si>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</si>
  <si>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</si>
  <si>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</si>
  <si>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</si>
  <si>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</si>
  <si>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</si>
  <si>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</si>
  <si>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</si>
  <si>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</si>
  <si>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</si>
  <si>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</si>
  <si>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</si>
  <si>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</si>
  <si>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</si>
  <si>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</si>
  <si>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</si>
  <si>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</si>
  <si>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</si>
  <si>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</si>
  <si>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</si>
  <si>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</si>
  <si>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</si>
  <si>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</si>
  <si>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</si>
  <si>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</si>
  <si>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</si>
  <si>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</si>
  <si>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</si>
  <si>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</si>
  <si>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</si>
  <si>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Martital Status</t>
  </si>
  <si>
    <t>Row Labels</t>
  </si>
  <si>
    <t>Grand Total</t>
  </si>
  <si>
    <t>Average of Income</t>
  </si>
  <si>
    <t>Column Labels</t>
  </si>
  <si>
    <t>Count of Purchased Bike</t>
  </si>
  <si>
    <t>More Than 10 Miles</t>
  </si>
  <si>
    <t>Adolescent</t>
  </si>
  <si>
    <t>Middle Age</t>
  </si>
  <si>
    <t>Old</t>
  </si>
  <si>
    <t>Bikes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</si>
</sst>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7" formatCode="&quot;₹&quot;\ #,##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7"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Pivot!$B$3:$B$4</c:f>
              <c:strCache>
                <c:ptCount val="1"/>
                <c:pt idx="0">
                  <c:v>No</c:v>
                </c:pt>
              </c:strCache>
            </c:strRef>
          </c:tx>
          <c:spPr>
            <a:solidFill>
              <a:schemeClr val="accent1"/>
            </a:solidFill>
            <a:ln>
              <a:noFill/>
            </a:ln>
            <a:effectLst/>
          </c:spPr>
          <c:invertIfNegative val="0"/>
          <c:cat>
            <c:strRef>
              <c:f>Pivot!$A$5:$A$7</c:f>
              <c:strCache>
                <c:ptCount val="2"/>
                <c:pt idx="0">
                  <c:v>Female</c:v>
                </c:pt>
                <c:pt idx="1">
                  <c:v>Male</c:v>
                </c:pt>
              </c:strCache>
            </c:strRef>
          </c:cat>
          <c:val>
            <c:numRef>
              <c:f>Pivot!$B$5:$B$7</c:f>
              <c:numCache>
                <c:formatCode>"₹"\ #,##0</c:formatCode>
                <c:ptCount val="2"/>
                <c:pt idx="0">
                  <c:v>53440</c:v>
                </c:pt>
                <c:pt idx="1">
                  <c:v>56208.178438661707</c:v>
                </c:pt>
              </c:numCache>
            </c:numRef>
          </c:val>
          <c:extLst>
            <c:ext xmlns:c16="http://schemas.microsoft.com/office/drawing/2014/chart" uri="{C3380CC4-5D6E-409C-BE32-E72D297353CC}">
              <c16:uniqueId val="{00000000-EA53-40CC-BAD8-A028BF0B9BDC}"/>
            </c:ext>
          </c:extLst>
        </c:ser>
        <c:ser>
          <c:idx val="1"/>
          <c:order val="1"/>
          <c:tx>
            <c:strRef>
              <c:f>Pivot!$C$3:$C$4</c:f>
              <c:strCache>
                <c:ptCount val="1"/>
                <c:pt idx="0">
                  <c:v>Yes</c:v>
                </c:pt>
              </c:strCache>
            </c:strRef>
          </c:tx>
          <c:spPr>
            <a:solidFill>
              <a:schemeClr val="accent2"/>
            </a:solidFill>
            <a:ln>
              <a:noFill/>
            </a:ln>
            <a:effectLst/>
          </c:spPr>
          <c:invertIfNegative val="0"/>
          <c:cat>
            <c:strRef>
              <c:f>Pivot!$A$5:$A$7</c:f>
              <c:strCache>
                <c:ptCount val="2"/>
                <c:pt idx="0">
                  <c:v>Female</c:v>
                </c:pt>
                <c:pt idx="1">
                  <c:v>Male</c:v>
                </c:pt>
              </c:strCache>
            </c:strRef>
          </c:cat>
          <c:val>
            <c:numRef>
              <c:f>Pivot!$C$5:$C$7</c:f>
              <c:numCache>
                <c:formatCode>"₹"\ #,##0</c:formatCode>
                <c:ptCount val="2"/>
                <c:pt idx="0">
                  <c:v>55774.058577405856</c:v>
                </c:pt>
                <c:pt idx="1">
                  <c:v>60123.966942148763</c:v>
                </c:pt>
              </c:numCache>
            </c:numRef>
          </c:val>
          <c:extLst>
            <c:ext xmlns:c16="http://schemas.microsoft.com/office/drawing/2014/chart" uri="{C3380CC4-5D6E-409C-BE32-E72D297353CC}">
              <c16:uniqueId val="{00000001-EA53-40CC-BAD8-A028BF0B9BDC}"/>
            </c:ext>
          </c:extLst>
        </c:ser>
        <c:dLbls>
          <c:showLegendKey val="0"/>
          <c:showVal val="0"/>
          <c:showCatName val="0"/>
          <c:showSerName val="0"/>
          <c:showPercent val="0"/>
          <c:showBubbleSize val="0"/>
        </c:dLbls>
        <c:gapWidth val="219"/>
        <c:overlap val="-27"/>
        <c:axId val="48249264"/>
        <c:axId val="39271696"/>
      </c:barChart>
      <c:catAx>
        <c:axId val="482492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71696"/>
        <c:crosses val="autoZero"/>
        <c:auto val="1"/>
        <c:lblAlgn val="ctr"/>
        <c:lblOffset val="100"/>
        <c:noMultiLvlLbl val="0"/>
      </c:catAx>
      <c:valAx>
        <c:axId val="392716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4926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Pivot!$B$19:$B$20</c:f>
              <c:strCache>
                <c:ptCount val="1"/>
                <c:pt idx="0">
                  <c:v>No</c:v>
                </c:pt>
              </c:strCache>
            </c:strRef>
          </c:tx>
          <c:spPr>
            <a:ln w="28575" cap="rnd">
              <a:solidFill>
                <a:schemeClr val="accent1"/>
              </a:solidFill>
              <a:round/>
            </a:ln>
            <a:effectLst/>
          </c:spPr>
          <c:marker>
            <c:symbol val="none"/>
          </c:marker>
          <c:cat>
            <c:strRef>
              <c:f>Pivot!$A$21:$A$26</c:f>
              <c:strCache>
                <c:ptCount val="5"/>
                <c:pt idx="0">
                  <c:v>0-1 Miles</c:v>
                </c:pt>
                <c:pt idx="1">
                  <c:v>1-2 Miles</c:v>
                </c:pt>
                <c:pt idx="2">
                  <c:v>2-5 Miles</c:v>
                </c:pt>
                <c:pt idx="3">
                  <c:v>5-10 Miles</c:v>
                </c:pt>
                <c:pt idx="4">
                  <c:v>More Than 10 Miles</c:v>
                </c:pt>
              </c:strCache>
            </c:strRef>
          </c:cat>
          <c:val>
            <c:numRef>
              <c:f>Pivot!$B$21:$B$26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5AD5-4ACC-AFED-A5F2E59F3A70}"/>
            </c:ext>
          </c:extLst>
        </c:ser>
        <c:ser>
          <c:idx val="1"/>
          <c:order val="1"/>
          <c:tx>
            <c:strRef>
              <c:f>Pivot!$C$19:$C$20</c:f>
              <c:strCache>
                <c:ptCount val="1"/>
                <c:pt idx="0">
                  <c:v>Yes</c:v>
                </c:pt>
              </c:strCache>
            </c:strRef>
          </c:tx>
          <c:spPr>
            <a:ln w="28575" cap="rnd">
              <a:solidFill>
                <a:schemeClr val="accent2"/>
              </a:solidFill>
              <a:round/>
            </a:ln>
            <a:effectLst/>
          </c:spPr>
          <c:marker>
            <c:symbol val="none"/>
          </c:marker>
          <c:cat>
            <c:strRef>
              <c:f>Pivot!$A$21:$A$26</c:f>
              <c:strCache>
                <c:ptCount val="5"/>
                <c:pt idx="0">
                  <c:v>0-1 Miles</c:v>
                </c:pt>
                <c:pt idx="1">
                  <c:v>1-2 Miles</c:v>
                </c:pt>
                <c:pt idx="2">
                  <c:v>2-5 Miles</c:v>
                </c:pt>
                <c:pt idx="3">
                  <c:v>5-10 Miles</c:v>
                </c:pt>
                <c:pt idx="4">
                  <c:v>More Than 10 Miles</c:v>
                </c:pt>
              </c:strCache>
            </c:strRef>
          </c:cat>
          <c:val>
            <c:numRef>
              <c:f>Pivot!$C$21:$C$26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5AD5-4ACC-AFED-A5F2E59F3A70}"/>
            </c:ext>
          </c:extLst>
        </c:ser>
        <c:dLbls>
          <c:dLblPos val="t"/>
          <c:showLegendKey val="0"/>
          <c:showVal val="0"/>
          <c:showCatName val="0"/>
          <c:showSerName val="0"/>
          <c:showPercent val="0"/>
          <c:showBubbleSize val="0"/>
        </c:dLbls>
        <c:smooth val="0"/>
        <c:axId val="271575104"/>
        <c:axId val="272274032"/>
      </c:lineChart>
      <c:catAx>
        <c:axId val="2715751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274032"/>
        <c:crosses val="autoZero"/>
        <c:auto val="1"/>
        <c:lblAlgn val="ctr"/>
        <c:lblOffset val="100"/>
        <c:noMultiLvlLbl val="0"/>
      </c:catAx>
      <c:valAx>
        <c:axId val="272274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575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Pivot!$A$38:$A$41</c:f>
              <c:strCache>
                <c:ptCount val="3"/>
                <c:pt idx="0">
                  <c:v>Adolescent</c:v>
                </c:pt>
                <c:pt idx="1">
                  <c:v>Middle Age</c:v>
                </c:pt>
                <c:pt idx="2">
                  <c:v>Old</c:v>
                </c:pt>
              </c:strCache>
            </c:strRef>
          </c:cat>
          <c:val>
            <c:numRef>
              <c:f>Pivot!$B$38:$B$41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322E-4154-972C-283CA16C2F4A}"/>
            </c:ext>
          </c:extLst>
        </c:ser>
        <c:ser>
          <c:idx val="1"/>
          <c:order val="1"/>
          <c:tx>
            <c:strRef>
              <c:f>Pivot!$C$36:$C$37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Pivot!$A$38:$A$41</c:f>
              <c:strCache>
                <c:ptCount val="3"/>
                <c:pt idx="0">
                  <c:v>Adolescent</c:v>
                </c:pt>
                <c:pt idx="1">
                  <c:v>Middle Age</c:v>
                </c:pt>
                <c:pt idx="2">
                  <c:v>Old</c:v>
                </c:pt>
              </c:strCache>
            </c:strRef>
          </c:cat>
          <c:val>
            <c:numRef>
              <c:f>Pivot!$C$38:$C$41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322E-4154-972C-283CA16C2F4A}"/>
            </c:ext>
          </c:extLst>
        </c:ser>
        <c:dLbls>
          <c:showLegendKey val="0"/>
          <c:showVal val="0"/>
          <c:showCatName val="0"/>
          <c:showSerName val="0"/>
          <c:showPercent val="0"/>
          <c:showBubbleSize val="0"/>
        </c:dLbls>
        <c:marker val="1"/>
        <c:smooth val="0"/>
        <c:axId val="944041760"/>
        <c:axId val="272327792"/>
      </c:lineChart>
      <c:catAx>
        <c:axId val="9440417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327792"/>
        <c:crosses val="autoZero"/>
        <c:auto val="1"/>
        <c:lblAlgn val="ctr"/>
        <c:lblOffset val="100"/>
        <c:noMultiLvlLbl val="0"/>
      </c:catAx>
      <c:valAx>
        <c:axId val="272327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041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Dashboard.xlsx]Pivot!PivotTable5</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Pivot!$B$54:$B$55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Pivot!$A$56:$A$109</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Pivot!$B$56:$B$109</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0B8F-412F-9A1E-902AB4BED65B}"/>
            </c:ext>
          </c:extLst>
        </c:ser>
        <c:ser>
          <c:idx val="1"/>
          <c:order val="1"/>
          <c:tx>
            <c:strRef>
              <c:f>Pivot!$C$54:$C$55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Pivot!$A$56:$A$109</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Pivot!$C$56:$C$109</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0B8F-412F-9A1E-902AB4BED65B}"/>
            </c:ext>
          </c:extLst>
        </c:ser>
        <c:dLbls>
          <c:showLegendKey val="0"/>
          <c:showVal val="0"/>
          <c:showCatName val="0"/>
          <c:showSerName val="0"/>
          <c:showPercent val="0"/>
          <c:showBubbleSize val="0"/>
        </c:dLbls>
        <c:marker val="1"/>
        <c:smooth val="0"/>
        <c:axId val="146545536"/>
        <c:axId val="272340272"/>
      </c:lineChart>
      <c:catAx>
        <c:axId val="146545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340272"/>
        <c:crosses val="autoZero"/>
        <c:auto val="1"/>
        <c:lblAlgn val="ctr"/>
        <c:lblOffset val="100"/>
        <c:noMultiLvlLbl val="0"/>
      </c:catAx>
      <c:valAx>
        <c:axId val="272340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45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Pivot!$B$3:$B$4</c:f>
              <c:strCache>
                <c:ptCount val="1"/>
                <c:pt idx="0">
                  <c:v>No</c:v>
                </c:pt>
              </c:strCache>
            </c:strRef>
          </c:tx>
          <c:spPr>
            <a:solidFill>
              <a:schemeClr val="accent1"/>
            </a:solidFill>
            <a:ln>
              <a:noFill/>
            </a:ln>
            <a:effectLst/>
          </c:spPr>
          <c:invertIfNegative val="0"/>
          <c:cat>
            <c:strRef>
              <c:f>Pivot!$A$5:$A$7</c:f>
              <c:strCache>
                <c:ptCount val="2"/>
                <c:pt idx="0">
                  <c:v>Female</c:v>
                </c:pt>
                <c:pt idx="1">
                  <c:v>Male</c:v>
                </c:pt>
              </c:strCache>
            </c:strRef>
          </c:cat>
          <c:val>
            <c:numRef>
              <c:f>Pivot!$B$5:$B$7</c:f>
              <c:numCache>
                <c:formatCode>"₹"\ #,##0</c:formatCode>
                <c:ptCount val="2"/>
                <c:pt idx="0">
                  <c:v>53440</c:v>
                </c:pt>
                <c:pt idx="1">
                  <c:v>56208.178438661707</c:v>
                </c:pt>
              </c:numCache>
            </c:numRef>
          </c:val>
          <c:extLst>
            <c:ext xmlns:c16="http://schemas.microsoft.com/office/drawing/2014/chart" uri="{C3380CC4-5D6E-409C-BE32-E72D297353CC}">
              <c16:uniqueId val="{00000000-AADA-45B6-A090-8508BF6FFCBE}"/>
            </c:ext>
          </c:extLst>
        </c:ser>
        <c:ser>
          <c:idx val="1"/>
          <c:order val="1"/>
          <c:tx>
            <c:strRef>
              <c:f>Pivot!$C$3:$C$4</c:f>
              <c:strCache>
                <c:ptCount val="1"/>
                <c:pt idx="0">
                  <c:v>Yes</c:v>
                </c:pt>
              </c:strCache>
            </c:strRef>
          </c:tx>
          <c:spPr>
            <a:solidFill>
              <a:schemeClr val="accent2"/>
            </a:solidFill>
            <a:ln>
              <a:noFill/>
            </a:ln>
            <a:effectLst/>
          </c:spPr>
          <c:invertIfNegative val="0"/>
          <c:cat>
            <c:strRef>
              <c:f>Pivot!$A$5:$A$7</c:f>
              <c:strCache>
                <c:ptCount val="2"/>
                <c:pt idx="0">
                  <c:v>Female</c:v>
                </c:pt>
                <c:pt idx="1">
                  <c:v>Male</c:v>
                </c:pt>
              </c:strCache>
            </c:strRef>
          </c:cat>
          <c:val>
            <c:numRef>
              <c:f>Pivot!$C$5:$C$7</c:f>
              <c:numCache>
                <c:formatCode>"₹"\ #,##0</c:formatCode>
                <c:ptCount val="2"/>
                <c:pt idx="0">
                  <c:v>55774.058577405856</c:v>
                </c:pt>
                <c:pt idx="1">
                  <c:v>60123.966942148763</c:v>
                </c:pt>
              </c:numCache>
            </c:numRef>
          </c:val>
          <c:extLst>
            <c:ext xmlns:c16="http://schemas.microsoft.com/office/drawing/2014/chart" uri="{C3380CC4-5D6E-409C-BE32-E72D297353CC}">
              <c16:uniqueId val="{00000001-AADA-45B6-A090-8508BF6FFCBE}"/>
            </c:ext>
          </c:extLst>
        </c:ser>
        <c:dLbls>
          <c:showLegendKey val="0"/>
          <c:showVal val="0"/>
          <c:showCatName val="0"/>
          <c:showSerName val="0"/>
          <c:showPercent val="0"/>
          <c:showBubbleSize val="0"/>
        </c:dLbls>
        <c:gapWidth val="219"/>
        <c:overlap val="-27"/>
        <c:axId val="48249264"/>
        <c:axId val="39271696"/>
      </c:barChart>
      <c:catAx>
        <c:axId val="482492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71696"/>
        <c:crosses val="autoZero"/>
        <c:auto val="1"/>
        <c:lblAlgn val="ctr"/>
        <c:lblOffset val="100"/>
        <c:noMultiLvlLbl val="0"/>
      </c:catAx>
      <c:valAx>
        <c:axId val="392716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4926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Pivot!$B$19:$B$20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Pivot!$A$21:$A$26</c:f>
              <c:strCache>
                <c:ptCount val="5"/>
                <c:pt idx="0">
                  <c:v>0-1 Miles</c:v>
                </c:pt>
                <c:pt idx="1">
                  <c:v>1-2 Miles</c:v>
                </c:pt>
                <c:pt idx="2">
                  <c:v>2-5 Miles</c:v>
                </c:pt>
                <c:pt idx="3">
                  <c:v>5-10 Miles</c:v>
                </c:pt>
                <c:pt idx="4">
                  <c:v>More Than 10 Miles</c:v>
                </c:pt>
              </c:strCache>
            </c:strRef>
          </c:cat>
          <c:val>
            <c:numRef>
              <c:f>Pivot!$B$21:$B$26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442-4515-B1BE-23807097397C}"/>
            </c:ext>
          </c:extLst>
        </c:ser>
        <c:ser>
          <c:idx val="1"/>
          <c:order val="1"/>
          <c:tx>
            <c:strRef>
              <c:f>Pivot!$C$19:$C$20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Pivot!$A$21:$A$26</c:f>
              <c:strCache>
                <c:ptCount val="5"/>
                <c:pt idx="0">
                  <c:v>0-1 Miles</c:v>
                </c:pt>
                <c:pt idx="1">
                  <c:v>1-2 Miles</c:v>
                </c:pt>
                <c:pt idx="2">
                  <c:v>2-5 Miles</c:v>
                </c:pt>
                <c:pt idx="3">
                  <c:v>5-10 Miles</c:v>
                </c:pt>
                <c:pt idx="4">
                  <c:v>More Than 10 Miles</c:v>
                </c:pt>
              </c:strCache>
            </c:strRef>
          </c:cat>
          <c:val>
            <c:numRef>
              <c:f>Pivot!$C$21:$C$26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442-4515-B1BE-23807097397C}"/>
            </c:ext>
          </c:extLst>
        </c:ser>
        <c:dLbls>
          <c:dLblPos val="ctr"/>
          <c:showLegendKey val="0"/>
          <c:showVal val="0"/>
          <c:showCatName val="0"/>
          <c:showSerName val="0"/>
          <c:showPercent val="0"/>
          <c:showBubbleSize val="0"/>
        </c:dLbls>
        <c:marker val="1"/>
        <c:smooth val="0"/>
        <c:axId val="271575104"/>
        <c:axId val="272274032"/>
      </c:lineChart>
      <c:catAx>
        <c:axId val="2715751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274032"/>
        <c:crosses val="autoZero"/>
        <c:auto val="1"/>
        <c:lblAlgn val="ctr"/>
        <c:lblOffset val="100"/>
        <c:noMultiLvlLbl val="0"/>
      </c:catAx>
      <c:valAx>
        <c:axId val="272274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575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Pivot!$A$38:$A$41</c:f>
              <c:strCache>
                <c:ptCount val="3"/>
                <c:pt idx="0">
                  <c:v>Adolescent</c:v>
                </c:pt>
                <c:pt idx="1">
                  <c:v>Middle Age</c:v>
                </c:pt>
                <c:pt idx="2">
                  <c:v>Old</c:v>
                </c:pt>
              </c:strCache>
            </c:strRef>
          </c:cat>
          <c:val>
            <c:numRef>
              <c:f>Pivot!$B$38:$B$41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F7ED-46F0-92A3-B0CF1D263C29}"/>
            </c:ext>
          </c:extLst>
        </c:ser>
        <c:ser>
          <c:idx val="1"/>
          <c:order val="1"/>
          <c:tx>
            <c:strRef>
              <c:f>Pivot!$C$36:$C$37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Pivot!$A$38:$A$41</c:f>
              <c:strCache>
                <c:ptCount val="3"/>
                <c:pt idx="0">
                  <c:v>Adolescent</c:v>
                </c:pt>
                <c:pt idx="1">
                  <c:v>Middle Age</c:v>
                </c:pt>
                <c:pt idx="2">
                  <c:v>Old</c:v>
                </c:pt>
              </c:strCache>
            </c:strRef>
          </c:cat>
          <c:val>
            <c:numRef>
              <c:f>Pivot!$C$38:$C$41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F7ED-46F0-92A3-B0CF1D263C29}"/>
            </c:ext>
          </c:extLst>
        </c:ser>
        <c:dLbls>
          <c:showLegendKey val="0"/>
          <c:showVal val="0"/>
          <c:showCatName val="0"/>
          <c:showSerName val="0"/>
          <c:showPercent val="0"/>
          <c:showBubbleSize val="0"/>
        </c:dLbls>
        <c:marker val="1"/>
        <c:smooth val="0"/>
        <c:axId val="944041760"/>
        <c:axId val="272327792"/>
      </c:lineChart>
      <c:catAx>
        <c:axId val="9440417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327792"/>
        <c:crosses val="autoZero"/>
        <c:auto val="1"/>
        <c:lblAlgn val="ctr"/>
        <c:lblOffset val="100"/>
        <c:noMultiLvlLbl val="0"/>
      </c:catAx>
      <c:valAx>
        <c:axId val="272327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041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144846</xdr:colOff>
      <xdr:row>0</xdr:row>
      <xdr:rowOff>113356</xdr:rowOff>
    </xdr:from>
    <xdr:to>
      <xdr:col>10</xdr:col>
      <xdr:colOff>256592</xdr:colOff>
      <xdr:row>14</xdr:row>
      <xdr:rowOff>85531</xdr:rowOff>
    </xdr:to>
    <xdr:graphicFrame macro="">
      <xdr:nvGraphicFramePr>
        <xdr:cNvPr id="2" name="Chart 1">
          <a:extLst>
            <a:ext uri="{FF2B5EF4-FFF2-40B4-BE49-F238E27FC236}">
              <a16:creationId xmlns:a16="http://schemas.microsoft.com/office/drawing/2014/main" id="{E5D323FF-4F4B-8FBD-DF3A-F02DF6F819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296826</xdr:colOff>
      <xdr:row>16</xdr:row>
      <xdr:rowOff>72656</xdr:rowOff>
    </xdr:from>
    <xdr:to>
      <xdr:col>11</xdr:col>
      <xdr:colOff>589221</xdr:colOff>
      <xdr:row>31</xdr:row>
      <xdr:rowOff>24809</xdr:rowOff>
    </xdr:to>
    <xdr:graphicFrame macro="">
      <xdr:nvGraphicFramePr>
        <xdr:cNvPr id="3" name="Chart 2">
          <a:extLst>
            <a:ext uri="{FF2B5EF4-FFF2-40B4-BE49-F238E27FC236}">
              <a16:creationId xmlns:a16="http://schemas.microsoft.com/office/drawing/2014/main" id="{4FC2E7E8-C454-88A3-3077-4E60EAA7A7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381006</xdr:colOff>
      <xdr:row>33</xdr:row>
      <xdr:rowOff>174272</xdr:rowOff>
    </xdr:from>
    <xdr:to>
      <xdr:col>12</xdr:col>
      <xdr:colOff>97090</xdr:colOff>
      <xdr:row>48</xdr:row>
      <xdr:rowOff>165806</xdr:rowOff>
    </xdr:to>
    <xdr:graphicFrame macro="">
      <xdr:nvGraphicFramePr>
        <xdr:cNvPr id="4" name="Chart 3">
          <a:extLst>
            <a:ext uri="{FF2B5EF4-FFF2-40B4-BE49-F238E27FC236}">
              <a16:creationId xmlns:a16="http://schemas.microsoft.com/office/drawing/2014/main" id="{7C384EF3-34E8-8CC8-07FC-1AC2262846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463826</xdr:colOff>
      <xdr:row>54</xdr:row>
      <xdr:rowOff>86138</xdr:rowOff>
    </xdr:from>
    <xdr:to>
      <xdr:col>15</xdr:col>
      <xdr:colOff>281607</xdr:colOff>
      <xdr:row>77</xdr:row>
      <xdr:rowOff>82825</xdr:rowOff>
    </xdr:to>
    <xdr:graphicFrame macro="">
      <xdr:nvGraphicFramePr>
        <xdr:cNvPr id="5" name="Chart 4">
          <a:extLst>
            <a:ext uri="{FF2B5EF4-FFF2-40B4-BE49-F238E27FC236}">
              <a16:creationId xmlns:a16="http://schemas.microsoft.com/office/drawing/2014/main" id="{48B235C2-D091-583E-EA08-A1216EE05E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502382</xdr:colOff>
      <xdr:row>6</xdr:row>
      <xdr:rowOff>15823</xdr:rowOff>
    </xdr:from>
    <xdr:to>
      <xdr:col>10</xdr:col>
      <xdr:colOff>297336</xdr:colOff>
      <xdr:row>20</xdr:row>
      <xdr:rowOff>88648</xdr:rowOff>
    </xdr:to>
    <xdr:graphicFrame macro="">
      <xdr:nvGraphicFramePr>
        <xdr:cNvPr id="2" name="Chart 1">
          <a:extLst>
            <a:ext uri="{FF2B5EF4-FFF2-40B4-BE49-F238E27FC236}">
              <a16:creationId xmlns:a16="http://schemas.microsoft.com/office/drawing/2014/main" id="{6B71F601-57DE-4857-AC9D-302166D1A2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453043</xdr:colOff>
      <xdr:row>20</xdr:row>
      <xdr:rowOff>129538</xdr:rowOff>
    </xdr:from>
    <xdr:to>
      <xdr:col>21</xdr:col>
      <xdr:colOff>401782</xdr:colOff>
      <xdr:row>36</xdr:row>
      <xdr:rowOff>27709</xdr:rowOff>
    </xdr:to>
    <xdr:graphicFrame macro="">
      <xdr:nvGraphicFramePr>
        <xdr:cNvPr id="3" name="Chart 2">
          <a:extLst>
            <a:ext uri="{FF2B5EF4-FFF2-40B4-BE49-F238E27FC236}">
              <a16:creationId xmlns:a16="http://schemas.microsoft.com/office/drawing/2014/main" id="{F70FECB4-E0BB-472B-A5B8-4FB4D1D42E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290944</xdr:colOff>
      <xdr:row>6</xdr:row>
      <xdr:rowOff>13854</xdr:rowOff>
    </xdr:from>
    <xdr:to>
      <xdr:col>21</xdr:col>
      <xdr:colOff>401782</xdr:colOff>
      <xdr:row>20</xdr:row>
      <xdr:rowOff>69273</xdr:rowOff>
    </xdr:to>
    <xdr:graphicFrame macro="">
      <xdr:nvGraphicFramePr>
        <xdr:cNvPr id="4" name="Chart 3">
          <a:extLst>
            <a:ext uri="{FF2B5EF4-FFF2-40B4-BE49-F238E27FC236}">
              <a16:creationId xmlns:a16="http://schemas.microsoft.com/office/drawing/2014/main" id="{623F6115-7D4B-42C0-9B22-F3B341228C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41563</xdr:colOff>
      <xdr:row>6</xdr:row>
      <xdr:rowOff>55417</xdr:rowOff>
    </xdr:from>
    <xdr:to>
      <xdr:col>3</xdr:col>
      <xdr:colOff>443344</xdr:colOff>
      <xdr:row>12</xdr:row>
      <xdr:rowOff>69271</xdr:rowOff>
    </xdr:to>
    <mc:AlternateContent xmlns:mc="http://schemas.openxmlformats.org/markup-compatibility/2006">
      <mc:Choice xmlns:a14="http://schemas.microsoft.com/office/drawing/2010/main" Requires="a14">
        <xdr:graphicFrame macro="">
          <xdr:nvGraphicFramePr>
            <xdr:cNvPr id="5" name="Martital Status">
              <a:extLst>
                <a:ext uri="{FF2B5EF4-FFF2-40B4-BE49-F238E27FC236}">
                  <a16:creationId xmlns:a16="http://schemas.microsoft.com/office/drawing/2014/main" id="{D150A70D-0BBC-3745-CF66-1ED8F61E19F0}"/>
                </a:ext>
              </a:extLst>
            </xdr:cNvPr>
            <xdr:cNvGraphicFramePr/>
          </xdr:nvGraphicFramePr>
          <xdr:xfrm>
            <a:off x="0" y="0"/>
            <a:ext cx="0" cy="0"/>
          </xdr:xfrm>
          <a:graphic>
            <a:graphicData uri="http://schemas.microsoft.com/office/drawing/2010/slicer">
              <sle:slicer xmlns:sle="http://schemas.microsoft.com/office/drawing/2010/slicer" name="Martital Status"/>
            </a:graphicData>
          </a:graphic>
        </xdr:graphicFrame>
      </mc:Choice>
      <mc:Fallback>
        <xdr:sp macro="" textlink="">
          <xdr:nvSpPr>
            <xdr:cNvPr id="0" name=""/>
            <xdr:cNvSpPr>
              <a:spLocks noTextEdit="1"/>
            </xdr:cNvSpPr>
          </xdr:nvSpPr>
          <xdr:spPr>
            <a:xfrm>
              <a:off x="41563" y="1751482"/>
              <a:ext cx="2245329" cy="11199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53338</xdr:colOff>
      <xdr:row>18</xdr:row>
      <xdr:rowOff>114300</xdr:rowOff>
    </xdr:from>
    <xdr:to>
      <xdr:col>3</xdr:col>
      <xdr:colOff>431131</xdr:colOff>
      <xdr:row>27</xdr:row>
      <xdr:rowOff>170448</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AB5F4C20-26B3-6E17-3713-B960CCE66DE9}"/>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53338" y="4022623"/>
              <a:ext cx="2221341" cy="17153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70184</xdr:colOff>
      <xdr:row>12</xdr:row>
      <xdr:rowOff>100263</xdr:rowOff>
    </xdr:from>
    <xdr:to>
      <xdr:col>3</xdr:col>
      <xdr:colOff>421105</xdr:colOff>
      <xdr:row>18</xdr:row>
      <xdr:rowOff>130343</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87C92E5B-E7A4-2F43-77BC-46A3602E3FA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0184" y="2902457"/>
              <a:ext cx="2194469" cy="11362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sh" refreshedDate="46299.538599305553" createdVersion="8" refreshedVersion="8" minRefreshableVersion="3" recordCount="1000" xr:uid="{93C83458-2473-49DB-8332-5C914D51F13F}">
  <cacheSource type="worksheet">
    <worksheetSource ref="A1:N1001" sheet="Working Sheet"/>
  </cacheSource>
  <cacheFields count="14">
    <cacheField name="ID" numFmtId="0">
      <sharedItems containsSemiMixedTypes="0" containsString="0" containsNumber="1" containsInteger="1" minValue="11000" maxValue="29447"/>
    </cacheField>
    <cacheField name="Martital Status" numFmtId="0">
      <sharedItems count="2">
        <s v="Married"/>
        <s v="Single"/>
      </sharedItems>
    </cacheField>
    <cacheField name="Gender" numFmtId="0">
      <sharedItems count="2">
        <s v="Female"/>
        <s v="Male"/>
      </sharedItems>
    </cacheField>
    <cacheField name="Income" numFmtId="167">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4877176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DA40CB-C261-4DE0-805C-782DDBEAF17B}" name="PivotTable5"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54:D109"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189174-1ED9-473A-9B96-B251312B9746}" name="PivotTable4"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6:D41"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3EEB24-39EC-435B-A12C-3E8A70074576}" name="PivotTable2"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9:D26" firstHeaderRow="1" firstDataRow="2" firstDataCol="1"/>
  <pivotFields count="14">
    <pivotField showAll="0"/>
    <pivotField showAll="0">
      <items count="3">
        <item x="0"/>
        <item x="1"/>
        <item t="default"/>
      </items>
    </pivotField>
    <pivotField showAll="0"/>
    <pivotField numFmtId="167" showAll="0"/>
    <pivotField showAll="0"/>
    <pivotField showAll="0">
      <items count="6">
        <item x="0"/>
        <item x="4"/>
        <item x="2"/>
        <item x="1"/>
        <item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A5451A-69B9-4957-9CEE-BE8086EBC17B}" name="PivotTable1"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7"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7"/>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tital_Status" xr10:uid="{797D23BC-B478-495A-AE59-A20479FBE9C9}" sourceName="Martital Status">
  <pivotTables>
    <pivotTable tabId="2" name="PivotTable1"/>
    <pivotTable tabId="2" name="PivotTable2"/>
    <pivotTable tabId="2" name="PivotTable4"/>
    <pivotTable tabId="2" name="PivotTable5"/>
  </pivotTables>
  <data>
    <tabular pivotCacheId="48771767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15987FC-998F-4052-A857-5FDD8AAF15A1}" sourceName="Education">
  <pivotTables>
    <pivotTable tabId="2" name="PivotTable1"/>
    <pivotTable tabId="2" name="PivotTable2"/>
    <pivotTable tabId="2" name="PivotTable4"/>
    <pivotTable tabId="2" name="PivotTable5"/>
  </pivotTables>
  <data>
    <tabular pivotCacheId="487717675">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074C957-703F-4E41-930E-963EB41292CD}" sourceName="Region">
  <pivotTables>
    <pivotTable tabId="2" name="PivotTable1"/>
    <pivotTable tabId="2" name="PivotTable2"/>
    <pivotTable tabId="2" name="PivotTable4"/>
    <pivotTable tabId="2" name="PivotTable5"/>
  </pivotTables>
  <data>
    <tabular pivotCacheId="48771767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tital Status" xr10:uid="{AF50A2FD-9298-45DB-977E-BBBD4359CDF3}" cache="Slicer_Martital_Status" caption="Martital Status" rowHeight="234950"/>
  <slicer name="Education" xr10:uid="{90215899-FD7C-457C-8DCB-C9983BD1CD20}" cache="Slicer_Education" caption="Education" rowHeight="234950"/>
  <slicer name="Region" xr10:uid="{540EC740-BF79-42E8-BA17-FA79A7E18F67}"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E580E-272A-494A-8D25-FAE3E3BB9018}">
  <dimension ref="A3:D109"/>
  <sheetViews>
    <sheetView topLeftCell="D61" zoomScale="77" workbookViewId="0">
      <selection activeCell="P42" sqref="P42"/>
    </sheetView>
  </sheetViews>
  <sheetFormatPr defaultRowHeight="14.4" x14ac:dyDescent="0.3"/>
  <cols>
    <col min="1" max="1" width="22.21875" bestFit="1" customWidth="1"/>
    <col min="2" max="2" width="16.21875" bestFit="1" customWidth="1"/>
    <col min="3" max="3" width="4" bestFit="1" customWidth="1"/>
    <col min="4" max="4" width="11.109375" bestFit="1" customWidth="1"/>
  </cols>
  <sheetData>
    <row r="3" spans="1:4" x14ac:dyDescent="0.3">
      <c r="A3" s="4" t="s">
        <v>44</v>
      </c>
      <c r="B3" s="4" t="s">
        <v>45</v>
      </c>
    </row>
    <row r="4" spans="1:4" x14ac:dyDescent="0.3">
      <c r="A4" s="4" t="s">
        <v>42</v>
      </c>
      <c r="B4" t="s">
        <v>18</v>
      </c>
      <c r="C4" t="s">
        <v>15</v>
      </c>
      <c r="D4" t="s">
        <v>43</v>
      </c>
    </row>
    <row r="5" spans="1:4" x14ac:dyDescent="0.3">
      <c r="A5" s="5" t="s">
        <v>39</v>
      </c>
      <c r="B5" s="3">
        <v>53440</v>
      </c>
      <c r="C5" s="3">
        <v>55774.058577405856</v>
      </c>
      <c r="D5" s="3">
        <v>54580.777096114522</v>
      </c>
    </row>
    <row r="6" spans="1:4" x14ac:dyDescent="0.3">
      <c r="A6" s="5" t="s">
        <v>38</v>
      </c>
      <c r="B6" s="3">
        <v>56208.178438661707</v>
      </c>
      <c r="C6" s="3">
        <v>60123.966942148763</v>
      </c>
      <c r="D6" s="3">
        <v>58062.62230919765</v>
      </c>
    </row>
    <row r="7" spans="1:4" x14ac:dyDescent="0.3">
      <c r="A7" s="5" t="s">
        <v>43</v>
      </c>
      <c r="B7" s="3">
        <v>54874.759152215796</v>
      </c>
      <c r="C7" s="3">
        <v>57962.577962577961</v>
      </c>
      <c r="D7" s="3">
        <v>56360</v>
      </c>
    </row>
    <row r="19" spans="1:4" x14ac:dyDescent="0.3">
      <c r="A19" s="4" t="s">
        <v>46</v>
      </c>
      <c r="B19" s="4" t="s">
        <v>45</v>
      </c>
    </row>
    <row r="20" spans="1:4" x14ac:dyDescent="0.3">
      <c r="A20" s="4" t="s">
        <v>42</v>
      </c>
      <c r="B20" t="s">
        <v>18</v>
      </c>
      <c r="C20" t="s">
        <v>15</v>
      </c>
      <c r="D20" t="s">
        <v>43</v>
      </c>
    </row>
    <row r="21" spans="1:4" x14ac:dyDescent="0.3">
      <c r="A21" s="5" t="s">
        <v>16</v>
      </c>
      <c r="B21" s="6">
        <v>166</v>
      </c>
      <c r="C21" s="6">
        <v>200</v>
      </c>
      <c r="D21" s="6">
        <v>366</v>
      </c>
    </row>
    <row r="22" spans="1:4" x14ac:dyDescent="0.3">
      <c r="A22" s="5" t="s">
        <v>26</v>
      </c>
      <c r="B22" s="6">
        <v>92</v>
      </c>
      <c r="C22" s="6">
        <v>77</v>
      </c>
      <c r="D22" s="6">
        <v>169</v>
      </c>
    </row>
    <row r="23" spans="1:4" x14ac:dyDescent="0.3">
      <c r="A23" s="5" t="s">
        <v>22</v>
      </c>
      <c r="B23" s="6">
        <v>67</v>
      </c>
      <c r="C23" s="6">
        <v>95</v>
      </c>
      <c r="D23" s="6">
        <v>162</v>
      </c>
    </row>
    <row r="24" spans="1:4" x14ac:dyDescent="0.3">
      <c r="A24" s="5" t="s">
        <v>23</v>
      </c>
      <c r="B24" s="6">
        <v>116</v>
      </c>
      <c r="C24" s="6">
        <v>76</v>
      </c>
      <c r="D24" s="6">
        <v>192</v>
      </c>
    </row>
    <row r="25" spans="1:4" x14ac:dyDescent="0.3">
      <c r="A25" s="5" t="s">
        <v>47</v>
      </c>
      <c r="B25" s="6">
        <v>78</v>
      </c>
      <c r="C25" s="6">
        <v>33</v>
      </c>
      <c r="D25" s="6">
        <v>111</v>
      </c>
    </row>
    <row r="26" spans="1:4" x14ac:dyDescent="0.3">
      <c r="A26" s="5" t="s">
        <v>43</v>
      </c>
      <c r="B26" s="6">
        <v>519</v>
      </c>
      <c r="C26" s="6">
        <v>481</v>
      </c>
      <c r="D26" s="6">
        <v>1000</v>
      </c>
    </row>
    <row r="36" spans="1:4" x14ac:dyDescent="0.3">
      <c r="A36" s="4" t="s">
        <v>46</v>
      </c>
      <c r="B36" s="4" t="s">
        <v>45</v>
      </c>
    </row>
    <row r="37" spans="1:4" x14ac:dyDescent="0.3">
      <c r="A37" s="4" t="s">
        <v>42</v>
      </c>
      <c r="B37" t="s">
        <v>18</v>
      </c>
      <c r="C37" t="s">
        <v>15</v>
      </c>
      <c r="D37" t="s">
        <v>43</v>
      </c>
    </row>
    <row r="38" spans="1:4" x14ac:dyDescent="0.3">
      <c r="A38" s="5" t="s">
        <v>48</v>
      </c>
      <c r="B38" s="6">
        <v>71</v>
      </c>
      <c r="C38" s="6">
        <v>39</v>
      </c>
      <c r="D38" s="6">
        <v>110</v>
      </c>
    </row>
    <row r="39" spans="1:4" x14ac:dyDescent="0.3">
      <c r="A39" s="5" t="s">
        <v>49</v>
      </c>
      <c r="B39" s="6">
        <v>318</v>
      </c>
      <c r="C39" s="6">
        <v>383</v>
      </c>
      <c r="D39" s="6">
        <v>701</v>
      </c>
    </row>
    <row r="40" spans="1:4" x14ac:dyDescent="0.3">
      <c r="A40" s="5" t="s">
        <v>50</v>
      </c>
      <c r="B40" s="6">
        <v>130</v>
      </c>
      <c r="C40" s="6">
        <v>59</v>
      </c>
      <c r="D40" s="6">
        <v>189</v>
      </c>
    </row>
    <row r="41" spans="1:4" x14ac:dyDescent="0.3">
      <c r="A41" s="5" t="s">
        <v>43</v>
      </c>
      <c r="B41" s="6">
        <v>519</v>
      </c>
      <c r="C41" s="6">
        <v>481</v>
      </c>
      <c r="D41" s="6">
        <v>1000</v>
      </c>
    </row>
    <row r="54" spans="1:4" x14ac:dyDescent="0.3">
      <c r="A54" s="4" t="s">
        <v>46</v>
      </c>
      <c r="B54" s="4" t="s">
        <v>45</v>
      </c>
    </row>
    <row r="55" spans="1:4" x14ac:dyDescent="0.3">
      <c r="A55" s="4" t="s">
        <v>42</v>
      </c>
      <c r="B55" t="s">
        <v>18</v>
      </c>
      <c r="C55" t="s">
        <v>15</v>
      </c>
      <c r="D55" t="s">
        <v>43</v>
      </c>
    </row>
    <row r="56" spans="1:4" x14ac:dyDescent="0.3">
      <c r="A56" s="5">
        <v>25</v>
      </c>
      <c r="B56" s="6">
        <v>2</v>
      </c>
      <c r="C56" s="6">
        <v>4</v>
      </c>
      <c r="D56" s="6">
        <v>6</v>
      </c>
    </row>
    <row r="57" spans="1:4" x14ac:dyDescent="0.3">
      <c r="A57" s="5">
        <v>26</v>
      </c>
      <c r="B57" s="6">
        <v>8</v>
      </c>
      <c r="C57" s="6">
        <v>8</v>
      </c>
      <c r="D57" s="6">
        <v>16</v>
      </c>
    </row>
    <row r="58" spans="1:4" x14ac:dyDescent="0.3">
      <c r="A58" s="5">
        <v>27</v>
      </c>
      <c r="B58" s="6">
        <v>15</v>
      </c>
      <c r="C58" s="6">
        <v>8</v>
      </c>
      <c r="D58" s="6">
        <v>23</v>
      </c>
    </row>
    <row r="59" spans="1:4" x14ac:dyDescent="0.3">
      <c r="A59" s="5">
        <v>28</v>
      </c>
      <c r="B59" s="6">
        <v>12</v>
      </c>
      <c r="C59" s="6">
        <v>10</v>
      </c>
      <c r="D59" s="6">
        <v>22</v>
      </c>
    </row>
    <row r="60" spans="1:4" x14ac:dyDescent="0.3">
      <c r="A60" s="5">
        <v>29</v>
      </c>
      <c r="B60" s="6">
        <v>11</v>
      </c>
      <c r="C60" s="6">
        <v>5</v>
      </c>
      <c r="D60" s="6">
        <v>16</v>
      </c>
    </row>
    <row r="61" spans="1:4" x14ac:dyDescent="0.3">
      <c r="A61" s="5">
        <v>30</v>
      </c>
      <c r="B61" s="6">
        <v>23</v>
      </c>
      <c r="C61" s="6">
        <v>4</v>
      </c>
      <c r="D61" s="6">
        <v>27</v>
      </c>
    </row>
    <row r="62" spans="1:4" x14ac:dyDescent="0.3">
      <c r="A62" s="5">
        <v>31</v>
      </c>
      <c r="B62" s="6">
        <v>17</v>
      </c>
      <c r="C62" s="6">
        <v>8</v>
      </c>
      <c r="D62" s="6">
        <v>25</v>
      </c>
    </row>
    <row r="63" spans="1:4" x14ac:dyDescent="0.3">
      <c r="A63" s="5">
        <v>32</v>
      </c>
      <c r="B63" s="6">
        <v>19</v>
      </c>
      <c r="C63" s="6">
        <v>14</v>
      </c>
      <c r="D63" s="6">
        <v>33</v>
      </c>
    </row>
    <row r="64" spans="1:4" x14ac:dyDescent="0.3">
      <c r="A64" s="5">
        <v>33</v>
      </c>
      <c r="B64" s="6">
        <v>8</v>
      </c>
      <c r="C64" s="6">
        <v>13</v>
      </c>
      <c r="D64" s="6">
        <v>21</v>
      </c>
    </row>
    <row r="65" spans="1:4" x14ac:dyDescent="0.3">
      <c r="A65" s="5">
        <v>34</v>
      </c>
      <c r="B65" s="6">
        <v>12</v>
      </c>
      <c r="C65" s="6">
        <v>19</v>
      </c>
      <c r="D65" s="6">
        <v>31</v>
      </c>
    </row>
    <row r="66" spans="1:4" x14ac:dyDescent="0.3">
      <c r="A66" s="5">
        <v>35</v>
      </c>
      <c r="B66" s="6">
        <v>14</v>
      </c>
      <c r="C66" s="6">
        <v>22</v>
      </c>
      <c r="D66" s="6">
        <v>36</v>
      </c>
    </row>
    <row r="67" spans="1:4" x14ac:dyDescent="0.3">
      <c r="A67" s="5">
        <v>36</v>
      </c>
      <c r="B67" s="6">
        <v>7</v>
      </c>
      <c r="C67" s="6">
        <v>30</v>
      </c>
      <c r="D67" s="6">
        <v>37</v>
      </c>
    </row>
    <row r="68" spans="1:4" x14ac:dyDescent="0.3">
      <c r="A68" s="5">
        <v>37</v>
      </c>
      <c r="B68" s="6">
        <v>4</v>
      </c>
      <c r="C68" s="6">
        <v>28</v>
      </c>
      <c r="D68" s="6">
        <v>32</v>
      </c>
    </row>
    <row r="69" spans="1:4" x14ac:dyDescent="0.3">
      <c r="A69" s="5">
        <v>38</v>
      </c>
      <c r="B69" s="6">
        <v>8</v>
      </c>
      <c r="C69" s="6">
        <v>29</v>
      </c>
      <c r="D69" s="6">
        <v>37</v>
      </c>
    </row>
    <row r="70" spans="1:4" x14ac:dyDescent="0.3">
      <c r="A70" s="5">
        <v>39</v>
      </c>
      <c r="B70" s="6">
        <v>10</v>
      </c>
      <c r="C70" s="6">
        <v>12</v>
      </c>
      <c r="D70" s="6">
        <v>22</v>
      </c>
    </row>
    <row r="71" spans="1:4" x14ac:dyDescent="0.3">
      <c r="A71" s="5">
        <v>40</v>
      </c>
      <c r="B71" s="6">
        <v>24</v>
      </c>
      <c r="C71" s="6">
        <v>18</v>
      </c>
      <c r="D71" s="6">
        <v>42</v>
      </c>
    </row>
    <row r="72" spans="1:4" x14ac:dyDescent="0.3">
      <c r="A72" s="5">
        <v>41</v>
      </c>
      <c r="B72" s="6">
        <v>13</v>
      </c>
      <c r="C72" s="6">
        <v>15</v>
      </c>
      <c r="D72" s="6">
        <v>28</v>
      </c>
    </row>
    <row r="73" spans="1:4" x14ac:dyDescent="0.3">
      <c r="A73" s="5">
        <v>42</v>
      </c>
      <c r="B73" s="6">
        <v>22</v>
      </c>
      <c r="C73" s="6">
        <v>12</v>
      </c>
      <c r="D73" s="6">
        <v>34</v>
      </c>
    </row>
    <row r="74" spans="1:4" x14ac:dyDescent="0.3">
      <c r="A74" s="5">
        <v>43</v>
      </c>
      <c r="B74" s="6">
        <v>17</v>
      </c>
      <c r="C74" s="6">
        <v>19</v>
      </c>
      <c r="D74" s="6">
        <v>36</v>
      </c>
    </row>
    <row r="75" spans="1:4" x14ac:dyDescent="0.3">
      <c r="A75" s="5">
        <v>44</v>
      </c>
      <c r="B75" s="6">
        <v>15</v>
      </c>
      <c r="C75" s="6">
        <v>12</v>
      </c>
      <c r="D75" s="6">
        <v>27</v>
      </c>
    </row>
    <row r="76" spans="1:4" x14ac:dyDescent="0.3">
      <c r="A76" s="5">
        <v>45</v>
      </c>
      <c r="B76" s="6">
        <v>18</v>
      </c>
      <c r="C76" s="6">
        <v>13</v>
      </c>
      <c r="D76" s="6">
        <v>31</v>
      </c>
    </row>
    <row r="77" spans="1:4" x14ac:dyDescent="0.3">
      <c r="A77" s="5">
        <v>46</v>
      </c>
      <c r="B77" s="6">
        <v>12</v>
      </c>
      <c r="C77" s="6">
        <v>15</v>
      </c>
      <c r="D77" s="6">
        <v>27</v>
      </c>
    </row>
    <row r="78" spans="1:4" x14ac:dyDescent="0.3">
      <c r="A78" s="5">
        <v>47</v>
      </c>
      <c r="B78" s="6">
        <v>19</v>
      </c>
      <c r="C78" s="6">
        <v>20</v>
      </c>
      <c r="D78" s="6">
        <v>39</v>
      </c>
    </row>
    <row r="79" spans="1:4" x14ac:dyDescent="0.3">
      <c r="A79" s="5">
        <v>48</v>
      </c>
      <c r="B79" s="6">
        <v>16</v>
      </c>
      <c r="C79" s="6">
        <v>13</v>
      </c>
      <c r="D79" s="6">
        <v>29</v>
      </c>
    </row>
    <row r="80" spans="1:4" x14ac:dyDescent="0.3">
      <c r="A80" s="5">
        <v>49</v>
      </c>
      <c r="B80" s="6">
        <v>15</v>
      </c>
      <c r="C80" s="6">
        <v>8</v>
      </c>
      <c r="D80" s="6">
        <v>23</v>
      </c>
    </row>
    <row r="81" spans="1:4" x14ac:dyDescent="0.3">
      <c r="A81" s="5">
        <v>50</v>
      </c>
      <c r="B81" s="6">
        <v>12</v>
      </c>
      <c r="C81" s="6">
        <v>12</v>
      </c>
      <c r="D81" s="6">
        <v>24</v>
      </c>
    </row>
    <row r="82" spans="1:4" x14ac:dyDescent="0.3">
      <c r="A82" s="5">
        <v>51</v>
      </c>
      <c r="B82" s="6">
        <v>10</v>
      </c>
      <c r="C82" s="6">
        <v>12</v>
      </c>
      <c r="D82" s="6">
        <v>22</v>
      </c>
    </row>
    <row r="83" spans="1:4" x14ac:dyDescent="0.3">
      <c r="A83" s="5">
        <v>52</v>
      </c>
      <c r="B83" s="6">
        <v>10</v>
      </c>
      <c r="C83" s="6">
        <v>15</v>
      </c>
      <c r="D83" s="6">
        <v>25</v>
      </c>
    </row>
    <row r="84" spans="1:4" x14ac:dyDescent="0.3">
      <c r="A84" s="5">
        <v>53</v>
      </c>
      <c r="B84" s="6">
        <v>11</v>
      </c>
      <c r="C84" s="6">
        <v>13</v>
      </c>
      <c r="D84" s="6">
        <v>24</v>
      </c>
    </row>
    <row r="85" spans="1:4" x14ac:dyDescent="0.3">
      <c r="A85" s="5">
        <v>54</v>
      </c>
      <c r="B85" s="6">
        <v>5</v>
      </c>
      <c r="C85" s="6">
        <v>11</v>
      </c>
      <c r="D85" s="6">
        <v>16</v>
      </c>
    </row>
    <row r="86" spans="1:4" x14ac:dyDescent="0.3">
      <c r="A86" s="5">
        <v>55</v>
      </c>
      <c r="B86" s="6">
        <v>13</v>
      </c>
      <c r="C86" s="6">
        <v>5</v>
      </c>
      <c r="D86" s="6">
        <v>18</v>
      </c>
    </row>
    <row r="87" spans="1:4" x14ac:dyDescent="0.3">
      <c r="A87" s="5">
        <v>56</v>
      </c>
      <c r="B87" s="6">
        <v>13</v>
      </c>
      <c r="C87" s="6">
        <v>3</v>
      </c>
      <c r="D87" s="6">
        <v>16</v>
      </c>
    </row>
    <row r="88" spans="1:4" x14ac:dyDescent="0.3">
      <c r="A88" s="5">
        <v>57</v>
      </c>
      <c r="B88" s="6">
        <v>4</v>
      </c>
      <c r="C88" s="6">
        <v>4</v>
      </c>
      <c r="D88" s="6">
        <v>8</v>
      </c>
    </row>
    <row r="89" spans="1:4" x14ac:dyDescent="0.3">
      <c r="A89" s="5">
        <v>58</v>
      </c>
      <c r="B89" s="6">
        <v>8</v>
      </c>
      <c r="C89" s="6">
        <v>4</v>
      </c>
      <c r="D89" s="6">
        <v>12</v>
      </c>
    </row>
    <row r="90" spans="1:4" x14ac:dyDescent="0.3">
      <c r="A90" s="5">
        <v>59</v>
      </c>
      <c r="B90" s="6">
        <v>14</v>
      </c>
      <c r="C90" s="6">
        <v>6</v>
      </c>
      <c r="D90" s="6">
        <v>20</v>
      </c>
    </row>
    <row r="91" spans="1:4" x14ac:dyDescent="0.3">
      <c r="A91" s="5">
        <v>60</v>
      </c>
      <c r="B91" s="6">
        <v>8</v>
      </c>
      <c r="C91" s="6">
        <v>7</v>
      </c>
      <c r="D91" s="6">
        <v>15</v>
      </c>
    </row>
    <row r="92" spans="1:4" x14ac:dyDescent="0.3">
      <c r="A92" s="5">
        <v>61</v>
      </c>
      <c r="B92" s="6">
        <v>5</v>
      </c>
      <c r="C92" s="6">
        <v>4</v>
      </c>
      <c r="D92" s="6">
        <v>9</v>
      </c>
    </row>
    <row r="93" spans="1:4" x14ac:dyDescent="0.3">
      <c r="A93" s="5">
        <v>62</v>
      </c>
      <c r="B93" s="6">
        <v>9</v>
      </c>
      <c r="C93" s="6">
        <v>4</v>
      </c>
      <c r="D93" s="6">
        <v>13</v>
      </c>
    </row>
    <row r="94" spans="1:4" x14ac:dyDescent="0.3">
      <c r="A94" s="5">
        <v>63</v>
      </c>
      <c r="B94" s="6">
        <v>7</v>
      </c>
      <c r="C94" s="6">
        <v>2</v>
      </c>
      <c r="D94" s="6">
        <v>9</v>
      </c>
    </row>
    <row r="95" spans="1:4" x14ac:dyDescent="0.3">
      <c r="A95" s="5">
        <v>64</v>
      </c>
      <c r="B95" s="6">
        <v>7</v>
      </c>
      <c r="C95" s="6">
        <v>3</v>
      </c>
      <c r="D95" s="6">
        <v>10</v>
      </c>
    </row>
    <row r="96" spans="1:4" x14ac:dyDescent="0.3">
      <c r="A96" s="5">
        <v>65</v>
      </c>
      <c r="B96" s="6">
        <v>6</v>
      </c>
      <c r="C96" s="6">
        <v>3</v>
      </c>
      <c r="D96" s="6">
        <v>9</v>
      </c>
    </row>
    <row r="97" spans="1:4" x14ac:dyDescent="0.3">
      <c r="A97" s="5">
        <v>66</v>
      </c>
      <c r="B97" s="6">
        <v>8</v>
      </c>
      <c r="C97" s="6">
        <v>6</v>
      </c>
      <c r="D97" s="6">
        <v>14</v>
      </c>
    </row>
    <row r="98" spans="1:4" x14ac:dyDescent="0.3">
      <c r="A98" s="5">
        <v>67</v>
      </c>
      <c r="B98" s="6">
        <v>8</v>
      </c>
      <c r="C98" s="6">
        <v>2</v>
      </c>
      <c r="D98" s="6">
        <v>10</v>
      </c>
    </row>
    <row r="99" spans="1:4" x14ac:dyDescent="0.3">
      <c r="A99" s="5">
        <v>68</v>
      </c>
      <c r="B99" s="6">
        <v>3</v>
      </c>
      <c r="C99" s="6"/>
      <c r="D99" s="6">
        <v>3</v>
      </c>
    </row>
    <row r="100" spans="1:4" x14ac:dyDescent="0.3">
      <c r="A100" s="5">
        <v>69</v>
      </c>
      <c r="B100" s="6">
        <v>8</v>
      </c>
      <c r="C100" s="6"/>
      <c r="D100" s="6">
        <v>8</v>
      </c>
    </row>
    <row r="101" spans="1:4" x14ac:dyDescent="0.3">
      <c r="A101" s="5">
        <v>70</v>
      </c>
      <c r="B101" s="6">
        <v>3</v>
      </c>
      <c r="C101" s="6">
        <v>1</v>
      </c>
      <c r="D101" s="6">
        <v>4</v>
      </c>
    </row>
    <row r="102" spans="1:4" x14ac:dyDescent="0.3">
      <c r="A102" s="5">
        <v>71</v>
      </c>
      <c r="B102" s="6">
        <v>1</v>
      </c>
      <c r="C102" s="6"/>
      <c r="D102" s="6">
        <v>1</v>
      </c>
    </row>
    <row r="103" spans="1:4" x14ac:dyDescent="0.3">
      <c r="A103" s="5">
        <v>72</v>
      </c>
      <c r="B103" s="6"/>
      <c r="C103" s="6">
        <v>1</v>
      </c>
      <c r="D103" s="6">
        <v>1</v>
      </c>
    </row>
    <row r="104" spans="1:4" x14ac:dyDescent="0.3">
      <c r="A104" s="5">
        <v>73</v>
      </c>
      <c r="B104" s="6">
        <v>2</v>
      </c>
      <c r="C104" s="6">
        <v>2</v>
      </c>
      <c r="D104" s="6">
        <v>4</v>
      </c>
    </row>
    <row r="105" spans="1:4" x14ac:dyDescent="0.3">
      <c r="A105" s="5">
        <v>74</v>
      </c>
      <c r="B105" s="6"/>
      <c r="C105" s="6">
        <v>1</v>
      </c>
      <c r="D105" s="6">
        <v>1</v>
      </c>
    </row>
    <row r="106" spans="1:4" x14ac:dyDescent="0.3">
      <c r="A106" s="5">
        <v>78</v>
      </c>
      <c r="B106" s="6">
        <v>1</v>
      </c>
      <c r="C106" s="6">
        <v>1</v>
      </c>
      <c r="D106" s="6">
        <v>2</v>
      </c>
    </row>
    <row r="107" spans="1:4" x14ac:dyDescent="0.3">
      <c r="A107" s="5">
        <v>80</v>
      </c>
      <c r="B107" s="6">
        <v>1</v>
      </c>
      <c r="C107" s="6"/>
      <c r="D107" s="6">
        <v>1</v>
      </c>
    </row>
    <row r="108" spans="1:4" x14ac:dyDescent="0.3">
      <c r="A108" s="5">
        <v>89</v>
      </c>
      <c r="B108" s="6">
        <v>1</v>
      </c>
      <c r="C108" s="6"/>
      <c r="D108" s="6">
        <v>1</v>
      </c>
    </row>
    <row r="109" spans="1:4" x14ac:dyDescent="0.3">
      <c r="A109" s="5" t="s">
        <v>43</v>
      </c>
      <c r="B109" s="6">
        <v>519</v>
      </c>
      <c r="C109" s="6">
        <v>481</v>
      </c>
      <c r="D109" s="6">
        <v>1000</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82D41-F93B-4F85-B42C-CCC35025A69D}">
  <dimension ref="A1:N1001"/>
  <sheetViews>
    <sheetView topLeftCell="F1" zoomScale="70" zoomScaleNormal="60" workbookViewId="0">
      <selection activeCell="N2" sqref="N2"/>
    </sheetView>
  </sheetViews>
  <sheetFormatPr defaultColWidth="11.88671875" defaultRowHeight="14.4" x14ac:dyDescent="0.3"/>
  <cols>
    <col min="2" max="2" width="19.88671875" customWidth="1"/>
    <col min="4" max="4" width="11.88671875" style="3"/>
    <col min="7" max="7" width="14.5546875" customWidth="1"/>
    <col min="10" max="10" width="17.5546875" customWidth="1"/>
    <col min="14" max="14" width="15.44140625" customWidth="1"/>
  </cols>
  <sheetData>
    <row r="1" spans="1:14" x14ac:dyDescent="0.3">
      <c r="A1" t="s">
        <v>0</v>
      </c>
      <c r="B1" t="s">
        <v>41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IF(L2&gt;54,"Old", IF( L2&gt;= 31,"Middle Age", IF( L2&lt;31, "Adolescent","Invalid")))</f>
        <v>Middle Age</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IF(L3&gt;54,"Old", IF( L3&gt;= 31,"Middle Age", IF( L3&lt;31, "Adolescent","Invalid")))</f>
        <v>Middle Age</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 Age</v>
      </c>
      <c r="N5" t="s">
        <v>15</v>
      </c>
    </row>
    <row r="6" spans="1:14" x14ac:dyDescent="0.3">
      <c r="A6">
        <v>25597</v>
      </c>
      <c r="B6" t="s">
        <v>37</v>
      </c>
      <c r="C6" t="s">
        <v>38</v>
      </c>
      <c r="D6" s="3">
        <v>30000</v>
      </c>
      <c r="E6">
        <v>0</v>
      </c>
      <c r="F6" t="s">
        <v>13</v>
      </c>
      <c r="G6" t="s">
        <v>20</v>
      </c>
      <c r="H6" t="s">
        <v>18</v>
      </c>
      <c r="I6">
        <v>0</v>
      </c>
      <c r="J6" t="s">
        <v>16</v>
      </c>
      <c r="K6" t="s">
        <v>17</v>
      </c>
      <c r="L6">
        <v>36</v>
      </c>
      <c r="M6" t="str">
        <f t="shared" si="0"/>
        <v>Middle Age</v>
      </c>
      <c r="N6" t="s">
        <v>15</v>
      </c>
    </row>
    <row r="7" spans="1:14" x14ac:dyDescent="0.3">
      <c r="A7">
        <v>13507</v>
      </c>
      <c r="B7" t="s">
        <v>36</v>
      </c>
      <c r="C7" t="s">
        <v>39</v>
      </c>
      <c r="D7" s="3">
        <v>10000</v>
      </c>
      <c r="E7">
        <v>2</v>
      </c>
      <c r="F7" t="s">
        <v>19</v>
      </c>
      <c r="G7" t="s">
        <v>25</v>
      </c>
      <c r="H7" t="s">
        <v>15</v>
      </c>
      <c r="I7">
        <v>0</v>
      </c>
      <c r="J7" t="s">
        <v>26</v>
      </c>
      <c r="K7" t="s">
        <v>17</v>
      </c>
      <c r="L7">
        <v>50</v>
      </c>
      <c r="M7" t="str">
        <f t="shared" si="0"/>
        <v>Middle Age</v>
      </c>
      <c r="N7" t="s">
        <v>18</v>
      </c>
    </row>
    <row r="8" spans="1:14" x14ac:dyDescent="0.3">
      <c r="A8">
        <v>27974</v>
      </c>
      <c r="B8" t="s">
        <v>37</v>
      </c>
      <c r="C8" t="s">
        <v>38</v>
      </c>
      <c r="D8" s="3">
        <v>160000</v>
      </c>
      <c r="E8">
        <v>2</v>
      </c>
      <c r="F8" t="s">
        <v>27</v>
      </c>
      <c r="G8" t="s">
        <v>28</v>
      </c>
      <c r="H8" t="s">
        <v>15</v>
      </c>
      <c r="I8">
        <v>4</v>
      </c>
      <c r="J8" t="s">
        <v>16</v>
      </c>
      <c r="K8" t="s">
        <v>24</v>
      </c>
      <c r="L8">
        <v>33</v>
      </c>
      <c r="M8" t="str">
        <f t="shared" si="0"/>
        <v>Middle Age</v>
      </c>
      <c r="N8" t="s">
        <v>15</v>
      </c>
    </row>
    <row r="9" spans="1:14" x14ac:dyDescent="0.3">
      <c r="A9">
        <v>19364</v>
      </c>
      <c r="B9" t="s">
        <v>36</v>
      </c>
      <c r="C9" t="s">
        <v>38</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3">
        <v>90000</v>
      </c>
      <c r="E13">
        <v>0</v>
      </c>
      <c r="F13" t="s">
        <v>13</v>
      </c>
      <c r="G13" t="s">
        <v>21</v>
      </c>
      <c r="H13" t="s">
        <v>18</v>
      </c>
      <c r="I13">
        <v>4</v>
      </c>
      <c r="J13" t="s">
        <v>47</v>
      </c>
      <c r="K13" t="s">
        <v>24</v>
      </c>
      <c r="L13">
        <v>36</v>
      </c>
      <c r="M13"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3">
        <v>80000</v>
      </c>
      <c r="E23">
        <v>0</v>
      </c>
      <c r="F23" t="s">
        <v>13</v>
      </c>
      <c r="G23" t="s">
        <v>21</v>
      </c>
      <c r="H23" t="s">
        <v>15</v>
      </c>
      <c r="I23">
        <v>4</v>
      </c>
      <c r="J23" t="s">
        <v>47</v>
      </c>
      <c r="K23" t="s">
        <v>24</v>
      </c>
      <c r="L23">
        <v>35</v>
      </c>
      <c r="M23" t="str">
        <f t="shared" si="0"/>
        <v>Middle Age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3">
        <v>80000</v>
      </c>
      <c r="E53">
        <v>0</v>
      </c>
      <c r="F53" t="s">
        <v>13</v>
      </c>
      <c r="G53" t="s">
        <v>21</v>
      </c>
      <c r="H53" t="s">
        <v>18</v>
      </c>
      <c r="I53">
        <v>4</v>
      </c>
      <c r="J53" t="s">
        <v>47</v>
      </c>
      <c r="K53" t="s">
        <v>24</v>
      </c>
      <c r="L53">
        <v>35</v>
      </c>
      <c r="M53" t="str">
        <f t="shared" si="0"/>
        <v>Middle Age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3">
        <v>80000</v>
      </c>
      <c r="E57">
        <v>4</v>
      </c>
      <c r="F57" t="s">
        <v>27</v>
      </c>
      <c r="G57" t="s">
        <v>21</v>
      </c>
      <c r="H57" t="s">
        <v>15</v>
      </c>
      <c r="I57">
        <v>2</v>
      </c>
      <c r="J57" t="s">
        <v>47</v>
      </c>
      <c r="K57" t="s">
        <v>17</v>
      </c>
      <c r="L57">
        <v>54</v>
      </c>
      <c r="M57" t="str">
        <f t="shared" si="0"/>
        <v>Middle Age</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3">
        <v>60000</v>
      </c>
      <c r="E65">
        <v>4</v>
      </c>
      <c r="F65" t="s">
        <v>13</v>
      </c>
      <c r="G65" t="s">
        <v>21</v>
      </c>
      <c r="H65" t="s">
        <v>15</v>
      </c>
      <c r="I65">
        <v>3</v>
      </c>
      <c r="J65" t="s">
        <v>47</v>
      </c>
      <c r="K65" t="s">
        <v>24</v>
      </c>
      <c r="L65">
        <v>41</v>
      </c>
      <c r="M65" t="str">
        <f t="shared" si="0"/>
        <v>Middle 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IF(L67&gt;54,"Old", IF( L67&gt;= 31,"Middle Age", IF( L67&lt;31, "Adolescent","Invalid")))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3">
        <v>120000</v>
      </c>
      <c r="E72">
        <v>0</v>
      </c>
      <c r="F72" t="s">
        <v>29</v>
      </c>
      <c r="G72" t="s">
        <v>21</v>
      </c>
      <c r="H72" t="s">
        <v>15</v>
      </c>
      <c r="I72">
        <v>4</v>
      </c>
      <c r="J72" t="s">
        <v>47</v>
      </c>
      <c r="K72" t="s">
        <v>24</v>
      </c>
      <c r="L72">
        <v>36</v>
      </c>
      <c r="M72" t="str">
        <f t="shared" si="1"/>
        <v>Middle Age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3">
        <v>80000</v>
      </c>
      <c r="E79">
        <v>0</v>
      </c>
      <c r="F79" t="s">
        <v>13</v>
      </c>
      <c r="G79" t="s">
        <v>21</v>
      </c>
      <c r="H79" t="s">
        <v>15</v>
      </c>
      <c r="I79">
        <v>2</v>
      </c>
      <c r="J79" t="s">
        <v>47</v>
      </c>
      <c r="K79" t="s">
        <v>24</v>
      </c>
      <c r="L79">
        <v>29</v>
      </c>
      <c r="M79" t="str">
        <f t="shared" si="1"/>
        <v>Adolescent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3">
        <v>90000</v>
      </c>
      <c r="E97">
        <v>5</v>
      </c>
      <c r="F97" t="s">
        <v>19</v>
      </c>
      <c r="G97" t="s">
        <v>21</v>
      </c>
      <c r="H97" t="s">
        <v>15</v>
      </c>
      <c r="I97">
        <v>2</v>
      </c>
      <c r="J97" t="s">
        <v>47</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3">
        <v>80000</v>
      </c>
      <c r="E124">
        <v>0</v>
      </c>
      <c r="F124" t="s">
        <v>13</v>
      </c>
      <c r="G124" t="s">
        <v>21</v>
      </c>
      <c r="H124" t="s">
        <v>18</v>
      </c>
      <c r="I124">
        <v>3</v>
      </c>
      <c r="J124" t="s">
        <v>47</v>
      </c>
      <c r="K124" t="s">
        <v>24</v>
      </c>
      <c r="L124">
        <v>31</v>
      </c>
      <c r="M124" t="str">
        <f t="shared" si="1"/>
        <v>Middle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IF(L131&gt;54,"Old", IF( L131&gt;= 31,"Middle Age", IF( L131&lt;31, "Adolescent","Invalid")))</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3">
        <v>80000</v>
      </c>
      <c r="E145">
        <v>0</v>
      </c>
      <c r="F145" t="s">
        <v>13</v>
      </c>
      <c r="G145" t="s">
        <v>21</v>
      </c>
      <c r="H145" t="s">
        <v>15</v>
      </c>
      <c r="I145">
        <v>3</v>
      </c>
      <c r="J145" t="s">
        <v>47</v>
      </c>
      <c r="K145" t="s">
        <v>24</v>
      </c>
      <c r="L145">
        <v>32</v>
      </c>
      <c r="M145" t="str">
        <f t="shared" si="2"/>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3">
        <v>100000</v>
      </c>
      <c r="E169">
        <v>0</v>
      </c>
      <c r="F169" t="s">
        <v>27</v>
      </c>
      <c r="G169" t="s">
        <v>28</v>
      </c>
      <c r="H169" t="s">
        <v>15</v>
      </c>
      <c r="I169">
        <v>3</v>
      </c>
      <c r="J169" t="s">
        <v>47</v>
      </c>
      <c r="K169" t="s">
        <v>24</v>
      </c>
      <c r="L169">
        <v>35</v>
      </c>
      <c r="M169" t="str">
        <f t="shared" si="2"/>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3">
        <v>160000</v>
      </c>
      <c r="E180">
        <v>4</v>
      </c>
      <c r="F180" t="s">
        <v>19</v>
      </c>
      <c r="G180" t="s">
        <v>21</v>
      </c>
      <c r="H180" t="s">
        <v>18</v>
      </c>
      <c r="I180">
        <v>2</v>
      </c>
      <c r="J180" t="s">
        <v>47</v>
      </c>
      <c r="K180" t="s">
        <v>17</v>
      </c>
      <c r="L180">
        <v>55</v>
      </c>
      <c r="M180" t="str">
        <f t="shared" si="2"/>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47</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47</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47</v>
      </c>
      <c r="K190" t="s">
        <v>24</v>
      </c>
      <c r="L190">
        <v>32</v>
      </c>
      <c r="M190" t="str">
        <f t="shared" si="2"/>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3">
        <v>80000</v>
      </c>
      <c r="E194">
        <v>5</v>
      </c>
      <c r="F194" t="s">
        <v>13</v>
      </c>
      <c r="G194" t="s">
        <v>28</v>
      </c>
      <c r="H194" t="s">
        <v>15</v>
      </c>
      <c r="I194">
        <v>2</v>
      </c>
      <c r="J194" t="s">
        <v>47</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47</v>
      </c>
      <c r="K195" t="s">
        <v>24</v>
      </c>
      <c r="L195">
        <v>41</v>
      </c>
      <c r="M195" t="str">
        <f t="shared" ref="M195:M258" si="3">IF(L195&gt;54,"Old", IF( L195&gt;= 31,"Middle Age", IF( L195&lt;31, "Adolescent","Invalid")))</f>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3">
        <v>80000</v>
      </c>
      <c r="E201">
        <v>0</v>
      </c>
      <c r="F201" t="s">
        <v>13</v>
      </c>
      <c r="G201" t="s">
        <v>21</v>
      </c>
      <c r="H201" t="s">
        <v>18</v>
      </c>
      <c r="I201">
        <v>3</v>
      </c>
      <c r="J201" t="s">
        <v>47</v>
      </c>
      <c r="K201" t="s">
        <v>24</v>
      </c>
      <c r="L201">
        <v>33</v>
      </c>
      <c r="M201" t="str">
        <f t="shared" si="3"/>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3">
        <v>90000</v>
      </c>
      <c r="E208">
        <v>5</v>
      </c>
      <c r="F208" t="s">
        <v>19</v>
      </c>
      <c r="G208" t="s">
        <v>21</v>
      </c>
      <c r="H208" t="s">
        <v>18</v>
      </c>
      <c r="I208">
        <v>2</v>
      </c>
      <c r="J208" t="s">
        <v>47</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3">
        <v>70000</v>
      </c>
      <c r="E215">
        <v>0</v>
      </c>
      <c r="F215" t="s">
        <v>13</v>
      </c>
      <c r="G215" t="s">
        <v>21</v>
      </c>
      <c r="H215" t="s">
        <v>18</v>
      </c>
      <c r="I215">
        <v>4</v>
      </c>
      <c r="J215" t="s">
        <v>47</v>
      </c>
      <c r="K215" t="s">
        <v>24</v>
      </c>
      <c r="L215">
        <v>31</v>
      </c>
      <c r="M215" t="str">
        <f t="shared" si="3"/>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3">
        <v>70000</v>
      </c>
      <c r="E225">
        <v>5</v>
      </c>
      <c r="F225" t="s">
        <v>13</v>
      </c>
      <c r="G225" t="s">
        <v>21</v>
      </c>
      <c r="H225" t="s">
        <v>15</v>
      </c>
      <c r="I225">
        <v>4</v>
      </c>
      <c r="J225" t="s">
        <v>47</v>
      </c>
      <c r="K225" t="s">
        <v>24</v>
      </c>
      <c r="L225">
        <v>39</v>
      </c>
      <c r="M225" t="str">
        <f t="shared" si="3"/>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3">
        <v>80000</v>
      </c>
      <c r="E231">
        <v>5</v>
      </c>
      <c r="F231" t="s">
        <v>27</v>
      </c>
      <c r="G231" t="s">
        <v>28</v>
      </c>
      <c r="H231" t="s">
        <v>15</v>
      </c>
      <c r="I231">
        <v>3</v>
      </c>
      <c r="J231" t="s">
        <v>47</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47</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3">
        <v>90000</v>
      </c>
      <c r="E236">
        <v>0</v>
      </c>
      <c r="F236" t="s">
        <v>13</v>
      </c>
      <c r="G236" t="s">
        <v>21</v>
      </c>
      <c r="H236" t="s">
        <v>18</v>
      </c>
      <c r="I236">
        <v>4</v>
      </c>
      <c r="J236" t="s">
        <v>47</v>
      </c>
      <c r="K236" t="s">
        <v>24</v>
      </c>
      <c r="L236">
        <v>35</v>
      </c>
      <c r="M236" t="str">
        <f t="shared" si="3"/>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3">
        <v>120000</v>
      </c>
      <c r="E246">
        <v>3</v>
      </c>
      <c r="F246" t="s">
        <v>13</v>
      </c>
      <c r="G246" t="s">
        <v>28</v>
      </c>
      <c r="H246" t="s">
        <v>18</v>
      </c>
      <c r="I246">
        <v>2</v>
      </c>
      <c r="J246" t="s">
        <v>47</v>
      </c>
      <c r="K246" t="s">
        <v>17</v>
      </c>
      <c r="L246">
        <v>52</v>
      </c>
      <c r="M246" t="str">
        <f t="shared" si="3"/>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3">
        <v>100000</v>
      </c>
      <c r="E249">
        <v>0</v>
      </c>
      <c r="F249" t="s">
        <v>27</v>
      </c>
      <c r="G249" t="s">
        <v>28</v>
      </c>
      <c r="H249" t="s">
        <v>15</v>
      </c>
      <c r="I249">
        <v>4</v>
      </c>
      <c r="J249" t="s">
        <v>47</v>
      </c>
      <c r="K249" t="s">
        <v>24</v>
      </c>
      <c r="L249">
        <v>34</v>
      </c>
      <c r="M249" t="str">
        <f t="shared" si="3"/>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3">
        <v>100000</v>
      </c>
      <c r="E255">
        <v>3</v>
      </c>
      <c r="F255" t="s">
        <v>29</v>
      </c>
      <c r="G255" t="s">
        <v>21</v>
      </c>
      <c r="H255" t="s">
        <v>15</v>
      </c>
      <c r="I255">
        <v>0</v>
      </c>
      <c r="J255" t="s">
        <v>47</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IF(L259&gt;54,"Old", IF( L259&gt;= 31,"Middle Age", IF( L259&lt;31, "Adolescent","Invalid")))</f>
        <v>Middle Age</v>
      </c>
      <c r="N259" t="s">
        <v>15</v>
      </c>
    </row>
    <row r="260" spans="1:14" x14ac:dyDescent="0.3">
      <c r="A260">
        <v>14193</v>
      </c>
      <c r="B260" t="s">
        <v>37</v>
      </c>
      <c r="C260" t="s">
        <v>39</v>
      </c>
      <c r="D260" s="3">
        <v>100000</v>
      </c>
      <c r="E260">
        <v>3</v>
      </c>
      <c r="F260" t="s">
        <v>19</v>
      </c>
      <c r="G260" t="s">
        <v>28</v>
      </c>
      <c r="H260" t="s">
        <v>15</v>
      </c>
      <c r="I260">
        <v>4</v>
      </c>
      <c r="J260" t="s">
        <v>47</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3">
        <v>70000</v>
      </c>
      <c r="E265">
        <v>5</v>
      </c>
      <c r="F265" t="s">
        <v>13</v>
      </c>
      <c r="G265" t="s">
        <v>21</v>
      </c>
      <c r="H265" t="s">
        <v>15</v>
      </c>
      <c r="I265">
        <v>3</v>
      </c>
      <c r="J265" t="s">
        <v>47</v>
      </c>
      <c r="K265" t="s">
        <v>24</v>
      </c>
      <c r="L265">
        <v>39</v>
      </c>
      <c r="M265"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3">
        <v>100000</v>
      </c>
      <c r="E280">
        <v>0</v>
      </c>
      <c r="F280" t="s">
        <v>27</v>
      </c>
      <c r="G280" t="s">
        <v>28</v>
      </c>
      <c r="H280" t="s">
        <v>15</v>
      </c>
      <c r="I280">
        <v>3</v>
      </c>
      <c r="J280" t="s">
        <v>47</v>
      </c>
      <c r="K280" t="s">
        <v>24</v>
      </c>
      <c r="L280">
        <v>35</v>
      </c>
      <c r="M280" t="str">
        <f t="shared" si="4"/>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3">
        <v>110000</v>
      </c>
      <c r="E297">
        <v>0</v>
      </c>
      <c r="F297" t="s">
        <v>19</v>
      </c>
      <c r="G297" t="s">
        <v>28</v>
      </c>
      <c r="H297" t="s">
        <v>15</v>
      </c>
      <c r="I297">
        <v>3</v>
      </c>
      <c r="J297" t="s">
        <v>47</v>
      </c>
      <c r="K297" t="s">
        <v>24</v>
      </c>
      <c r="L297">
        <v>32</v>
      </c>
      <c r="M297" t="str">
        <f t="shared" si="4"/>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3">
        <v>130000</v>
      </c>
      <c r="E320">
        <v>4</v>
      </c>
      <c r="F320" t="s">
        <v>19</v>
      </c>
      <c r="G320" t="s">
        <v>21</v>
      </c>
      <c r="H320" t="s">
        <v>18</v>
      </c>
      <c r="I320">
        <v>3</v>
      </c>
      <c r="J320" t="s">
        <v>47</v>
      </c>
      <c r="K320" t="s">
        <v>17</v>
      </c>
      <c r="L320">
        <v>54</v>
      </c>
      <c r="M320" t="str">
        <f t="shared" si="4"/>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IF(L323&gt;54,"Old", IF( L323&gt;= 31,"Middle Age", IF( L323&lt;31, "Adolescent","Invalid")))</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3">
        <v>90000</v>
      </c>
      <c r="E331">
        <v>5</v>
      </c>
      <c r="F331" t="s">
        <v>29</v>
      </c>
      <c r="G331" t="s">
        <v>14</v>
      </c>
      <c r="H331" t="s">
        <v>15</v>
      </c>
      <c r="I331">
        <v>2</v>
      </c>
      <c r="J331" t="s">
        <v>47</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47</v>
      </c>
      <c r="K332" t="s">
        <v>24</v>
      </c>
      <c r="L332">
        <v>32</v>
      </c>
      <c r="M332"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3">
        <v>80000</v>
      </c>
      <c r="E357">
        <v>0</v>
      </c>
      <c r="F357" t="s">
        <v>13</v>
      </c>
      <c r="G357" t="s">
        <v>21</v>
      </c>
      <c r="H357" t="s">
        <v>15</v>
      </c>
      <c r="I357">
        <v>3</v>
      </c>
      <c r="J357" t="s">
        <v>47</v>
      </c>
      <c r="K357" t="s">
        <v>24</v>
      </c>
      <c r="L357">
        <v>32</v>
      </c>
      <c r="M357"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47</v>
      </c>
      <c r="K361" t="s">
        <v>24</v>
      </c>
      <c r="L361">
        <v>30</v>
      </c>
      <c r="M361" t="str">
        <f t="shared" si="5"/>
        <v>Adolescent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3">
        <v>100000</v>
      </c>
      <c r="E372">
        <v>4</v>
      </c>
      <c r="F372" t="s">
        <v>13</v>
      </c>
      <c r="G372" t="s">
        <v>21</v>
      </c>
      <c r="H372" t="s">
        <v>15</v>
      </c>
      <c r="I372">
        <v>1</v>
      </c>
      <c r="J372" t="s">
        <v>47</v>
      </c>
      <c r="K372" t="s">
        <v>24</v>
      </c>
      <c r="L372">
        <v>46</v>
      </c>
      <c r="M372"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3">
        <v>70000</v>
      </c>
      <c r="E382">
        <v>0</v>
      </c>
      <c r="F382" t="s">
        <v>13</v>
      </c>
      <c r="G382" t="s">
        <v>21</v>
      </c>
      <c r="H382" t="s">
        <v>18</v>
      </c>
      <c r="I382">
        <v>3</v>
      </c>
      <c r="J382" t="s">
        <v>47</v>
      </c>
      <c r="K382" t="s">
        <v>24</v>
      </c>
      <c r="L382">
        <v>30</v>
      </c>
      <c r="M382" t="str">
        <f t="shared" si="5"/>
        <v>Adolescent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47</v>
      </c>
      <c r="K384" t="s">
        <v>17</v>
      </c>
      <c r="L384">
        <v>53</v>
      </c>
      <c r="M384" t="str">
        <f t="shared" si="5"/>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IF(L387&gt;54,"Old", IF( L387&gt;= 31,"Middle Age", IF( L387&lt;31, "Adolescent","Invalid")))</f>
        <v>Middle Age</v>
      </c>
      <c r="N387" t="s">
        <v>18</v>
      </c>
    </row>
    <row r="388" spans="1:14" x14ac:dyDescent="0.3">
      <c r="A388">
        <v>28957</v>
      </c>
      <c r="B388" t="s">
        <v>37</v>
      </c>
      <c r="C388" t="s">
        <v>39</v>
      </c>
      <c r="D388" s="3">
        <v>120000</v>
      </c>
      <c r="E388">
        <v>0</v>
      </c>
      <c r="F388" t="s">
        <v>29</v>
      </c>
      <c r="G388" t="s">
        <v>21</v>
      </c>
      <c r="H388" t="s">
        <v>15</v>
      </c>
      <c r="I388">
        <v>4</v>
      </c>
      <c r="J388" t="s">
        <v>47</v>
      </c>
      <c r="K388" t="s">
        <v>24</v>
      </c>
      <c r="L388">
        <v>34</v>
      </c>
      <c r="M388" t="str">
        <f t="shared" si="6"/>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3">
        <v>110000</v>
      </c>
      <c r="E402">
        <v>3</v>
      </c>
      <c r="F402" t="s">
        <v>13</v>
      </c>
      <c r="G402" t="s">
        <v>28</v>
      </c>
      <c r="H402" t="s">
        <v>15</v>
      </c>
      <c r="I402">
        <v>4</v>
      </c>
      <c r="J402" t="s">
        <v>47</v>
      </c>
      <c r="K402" t="s">
        <v>17</v>
      </c>
      <c r="L402">
        <v>53</v>
      </c>
      <c r="M402" t="str">
        <f t="shared" si="6"/>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3">
        <v>100000</v>
      </c>
      <c r="E422">
        <v>2</v>
      </c>
      <c r="F422" t="s">
        <v>13</v>
      </c>
      <c r="G422" t="s">
        <v>28</v>
      </c>
      <c r="H422" t="s">
        <v>15</v>
      </c>
      <c r="I422">
        <v>4</v>
      </c>
      <c r="J422" t="s">
        <v>47</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3">
        <v>110000</v>
      </c>
      <c r="E424">
        <v>0</v>
      </c>
      <c r="F424" t="s">
        <v>19</v>
      </c>
      <c r="G424" t="s">
        <v>28</v>
      </c>
      <c r="H424" t="s">
        <v>18</v>
      </c>
      <c r="I424">
        <v>3</v>
      </c>
      <c r="J424" t="s">
        <v>47</v>
      </c>
      <c r="K424" t="s">
        <v>24</v>
      </c>
      <c r="L424">
        <v>32</v>
      </c>
      <c r="M424" t="str">
        <f t="shared" si="6"/>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3">
        <v>110000</v>
      </c>
      <c r="E434">
        <v>0</v>
      </c>
      <c r="F434" t="s">
        <v>27</v>
      </c>
      <c r="G434" t="s">
        <v>28</v>
      </c>
      <c r="H434" t="s">
        <v>15</v>
      </c>
      <c r="I434">
        <v>3</v>
      </c>
      <c r="J434" t="s">
        <v>47</v>
      </c>
      <c r="K434" t="s">
        <v>24</v>
      </c>
      <c r="L434">
        <v>34</v>
      </c>
      <c r="M434" t="str">
        <f t="shared" si="6"/>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3">
        <v>90000</v>
      </c>
      <c r="E442">
        <v>0</v>
      </c>
      <c r="F442" t="s">
        <v>13</v>
      </c>
      <c r="G442" t="s">
        <v>21</v>
      </c>
      <c r="H442" t="s">
        <v>18</v>
      </c>
      <c r="I442">
        <v>3</v>
      </c>
      <c r="J442" t="s">
        <v>47</v>
      </c>
      <c r="K442" t="s">
        <v>24</v>
      </c>
      <c r="L442">
        <v>34</v>
      </c>
      <c r="M442"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3">
        <v>130000</v>
      </c>
      <c r="E448">
        <v>0</v>
      </c>
      <c r="F448" t="s">
        <v>31</v>
      </c>
      <c r="G448" t="s">
        <v>28</v>
      </c>
      <c r="H448" t="s">
        <v>15</v>
      </c>
      <c r="I448">
        <v>1</v>
      </c>
      <c r="J448" t="s">
        <v>47</v>
      </c>
      <c r="K448" t="s">
        <v>24</v>
      </c>
      <c r="L448">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IF(L451&gt;54,"Old", IF( L451&gt;= 31,"Middle Age", IF( L451&lt;31, "Adolescent","Invalid")))</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47</v>
      </c>
      <c r="K460" t="s">
        <v>24</v>
      </c>
      <c r="L460">
        <v>32</v>
      </c>
      <c r="M460" t="str">
        <f t="shared" si="7"/>
        <v>Middle Age</v>
      </c>
      <c r="N460" t="s">
        <v>15</v>
      </c>
    </row>
    <row r="461" spans="1:14" x14ac:dyDescent="0.3">
      <c r="A461">
        <v>21554</v>
      </c>
      <c r="B461" t="s">
        <v>37</v>
      </c>
      <c r="C461" t="s">
        <v>39</v>
      </c>
      <c r="D461" s="3">
        <v>80000</v>
      </c>
      <c r="E461">
        <v>0</v>
      </c>
      <c r="F461" t="s">
        <v>13</v>
      </c>
      <c r="G461" t="s">
        <v>21</v>
      </c>
      <c r="H461" t="s">
        <v>18</v>
      </c>
      <c r="I461">
        <v>3</v>
      </c>
      <c r="J461" t="s">
        <v>47</v>
      </c>
      <c r="K461" t="s">
        <v>24</v>
      </c>
      <c r="L461">
        <v>33</v>
      </c>
      <c r="M461" t="str">
        <f t="shared" si="7"/>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3">
        <v>90000</v>
      </c>
      <c r="E488">
        <v>4</v>
      </c>
      <c r="F488" t="s">
        <v>29</v>
      </c>
      <c r="G488" t="s">
        <v>14</v>
      </c>
      <c r="H488" t="s">
        <v>15</v>
      </c>
      <c r="I488">
        <v>4</v>
      </c>
      <c r="J488" t="s">
        <v>47</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3">
        <v>70000</v>
      </c>
      <c r="E495">
        <v>5</v>
      </c>
      <c r="F495" t="s">
        <v>13</v>
      </c>
      <c r="G495" t="s">
        <v>28</v>
      </c>
      <c r="H495" t="s">
        <v>15</v>
      </c>
      <c r="I495">
        <v>3</v>
      </c>
      <c r="J495" t="s">
        <v>47</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3">
        <v>60000</v>
      </c>
      <c r="E497">
        <v>2</v>
      </c>
      <c r="F497" t="s">
        <v>19</v>
      </c>
      <c r="G497" t="s">
        <v>21</v>
      </c>
      <c r="H497" t="s">
        <v>15</v>
      </c>
      <c r="I497">
        <v>2</v>
      </c>
      <c r="J497" t="s">
        <v>47</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3">
        <v>60000</v>
      </c>
      <c r="E515">
        <v>4</v>
      </c>
      <c r="F515" t="s">
        <v>31</v>
      </c>
      <c r="G515" t="s">
        <v>28</v>
      </c>
      <c r="H515" t="s">
        <v>15</v>
      </c>
      <c r="I515">
        <v>2</v>
      </c>
      <c r="J515" t="s">
        <v>47</v>
      </c>
      <c r="K515" t="s">
        <v>32</v>
      </c>
      <c r="L515">
        <v>61</v>
      </c>
      <c r="M515" t="str">
        <f t="shared" ref="M515:M578" si="8">IF(L515&gt;54,"Old", IF( L515&gt;= 31,"Middle Age", IF( L515&lt;31, "Adolescent","Invalid")))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3">
        <v>40000</v>
      </c>
      <c r="E523">
        <v>4</v>
      </c>
      <c r="F523" t="s">
        <v>27</v>
      </c>
      <c r="G523" t="s">
        <v>21</v>
      </c>
      <c r="H523" t="s">
        <v>15</v>
      </c>
      <c r="I523">
        <v>2</v>
      </c>
      <c r="J523" t="s">
        <v>47</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47</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3">
        <v>60000</v>
      </c>
      <c r="E531">
        <v>2</v>
      </c>
      <c r="F531" t="s">
        <v>19</v>
      </c>
      <c r="G531" t="s">
        <v>21</v>
      </c>
      <c r="H531" t="s">
        <v>15</v>
      </c>
      <c r="I531">
        <v>1</v>
      </c>
      <c r="J531" t="s">
        <v>47</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3">
        <v>60000</v>
      </c>
      <c r="E535">
        <v>3</v>
      </c>
      <c r="F535" t="s">
        <v>13</v>
      </c>
      <c r="G535" t="s">
        <v>28</v>
      </c>
      <c r="H535" t="s">
        <v>15</v>
      </c>
      <c r="I535">
        <v>2</v>
      </c>
      <c r="J535" t="s">
        <v>47</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47</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47</v>
      </c>
      <c r="K537" t="s">
        <v>32</v>
      </c>
      <c r="L537">
        <v>41</v>
      </c>
      <c r="M537" t="str">
        <f t="shared" si="8"/>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3">
        <v>50000</v>
      </c>
      <c r="E553">
        <v>4</v>
      </c>
      <c r="F553" t="s">
        <v>13</v>
      </c>
      <c r="G553" t="s">
        <v>28</v>
      </c>
      <c r="H553" t="s">
        <v>15</v>
      </c>
      <c r="I553">
        <v>2</v>
      </c>
      <c r="J553" t="s">
        <v>47</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47</v>
      </c>
      <c r="K554" t="s">
        <v>32</v>
      </c>
      <c r="L554">
        <v>54</v>
      </c>
      <c r="M554" t="str">
        <f t="shared" si="8"/>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3">
        <v>60000</v>
      </c>
      <c r="E561">
        <v>2</v>
      </c>
      <c r="F561" t="s">
        <v>13</v>
      </c>
      <c r="G561" t="s">
        <v>28</v>
      </c>
      <c r="H561" t="s">
        <v>15</v>
      </c>
      <c r="I561">
        <v>0</v>
      </c>
      <c r="J561" t="s">
        <v>47</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3">
        <v>50000</v>
      </c>
      <c r="E571">
        <v>3</v>
      </c>
      <c r="F571" t="s">
        <v>31</v>
      </c>
      <c r="G571" t="s">
        <v>28</v>
      </c>
      <c r="H571" t="s">
        <v>15</v>
      </c>
      <c r="I571">
        <v>2</v>
      </c>
      <c r="J571" t="s">
        <v>47</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3">
        <v>60000</v>
      </c>
      <c r="E577">
        <v>2</v>
      </c>
      <c r="F577" t="s">
        <v>19</v>
      </c>
      <c r="G577" t="s">
        <v>21</v>
      </c>
      <c r="H577" t="s">
        <v>15</v>
      </c>
      <c r="I577">
        <v>1</v>
      </c>
      <c r="J577" t="s">
        <v>47</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IF(L579&gt;54,"Old", IF( L579&gt;= 31,"Middle Age", IF( L579&lt;31, "Adolescent","Invalid")))</f>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3">
        <v>60000</v>
      </c>
      <c r="E582">
        <v>3</v>
      </c>
      <c r="F582" t="s">
        <v>31</v>
      </c>
      <c r="G582" t="s">
        <v>28</v>
      </c>
      <c r="H582" t="s">
        <v>15</v>
      </c>
      <c r="I582">
        <v>2</v>
      </c>
      <c r="J582" t="s">
        <v>47</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3">
        <v>60000</v>
      </c>
      <c r="E585">
        <v>3</v>
      </c>
      <c r="F585" t="s">
        <v>13</v>
      </c>
      <c r="G585" t="s">
        <v>28</v>
      </c>
      <c r="H585" t="s">
        <v>15</v>
      </c>
      <c r="I585">
        <v>2</v>
      </c>
      <c r="J585" t="s">
        <v>47</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3">
        <v>90000</v>
      </c>
      <c r="E590">
        <v>2</v>
      </c>
      <c r="F590" t="s">
        <v>27</v>
      </c>
      <c r="G590" t="s">
        <v>21</v>
      </c>
      <c r="H590" t="s">
        <v>15</v>
      </c>
      <c r="I590">
        <v>1</v>
      </c>
      <c r="J590" t="s">
        <v>47</v>
      </c>
      <c r="K590" t="s">
        <v>32</v>
      </c>
      <c r="L590">
        <v>51</v>
      </c>
      <c r="M590" t="str">
        <f t="shared" si="9"/>
        <v>Middle Age</v>
      </c>
      <c r="N590" t="s">
        <v>15</v>
      </c>
    </row>
    <row r="591" spans="1:14" x14ac:dyDescent="0.3">
      <c r="A591">
        <v>12100</v>
      </c>
      <c r="B591" t="s">
        <v>37</v>
      </c>
      <c r="C591" t="s">
        <v>38</v>
      </c>
      <c r="D591" s="3">
        <v>60000</v>
      </c>
      <c r="E591">
        <v>2</v>
      </c>
      <c r="F591" t="s">
        <v>13</v>
      </c>
      <c r="G591" t="s">
        <v>28</v>
      </c>
      <c r="H591" t="s">
        <v>15</v>
      </c>
      <c r="I591">
        <v>0</v>
      </c>
      <c r="J591" t="s">
        <v>47</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3">
        <v>40000</v>
      </c>
      <c r="E593">
        <v>4</v>
      </c>
      <c r="F593" t="s">
        <v>27</v>
      </c>
      <c r="G593" t="s">
        <v>21</v>
      </c>
      <c r="H593" t="s">
        <v>18</v>
      </c>
      <c r="I593">
        <v>2</v>
      </c>
      <c r="J593" t="s">
        <v>47</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3">
        <v>70000</v>
      </c>
      <c r="E609">
        <v>5</v>
      </c>
      <c r="F609" t="s">
        <v>31</v>
      </c>
      <c r="G609" t="s">
        <v>21</v>
      </c>
      <c r="H609" t="s">
        <v>15</v>
      </c>
      <c r="I609">
        <v>3</v>
      </c>
      <c r="J609" t="s">
        <v>47</v>
      </c>
      <c r="K609" t="s">
        <v>32</v>
      </c>
      <c r="L609">
        <v>46</v>
      </c>
      <c r="M609"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47</v>
      </c>
      <c r="K643" t="s">
        <v>32</v>
      </c>
      <c r="L643">
        <v>64</v>
      </c>
      <c r="M643" t="str">
        <f t="shared" ref="M643:M706" si="10">IF(L643&gt;54,"Old", IF( L643&gt;= 31,"Middle Age", IF( L643&lt;31, "Adolescent","Invalid")))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3">
        <v>60000</v>
      </c>
      <c r="E646">
        <v>5</v>
      </c>
      <c r="F646" t="s">
        <v>13</v>
      </c>
      <c r="G646" t="s">
        <v>14</v>
      </c>
      <c r="H646" t="s">
        <v>15</v>
      </c>
      <c r="I646">
        <v>3</v>
      </c>
      <c r="J646" t="s">
        <v>47</v>
      </c>
      <c r="K646" t="s">
        <v>32</v>
      </c>
      <c r="L646">
        <v>41</v>
      </c>
      <c r="M646" t="str">
        <f t="shared" si="10"/>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3">
        <v>70000</v>
      </c>
      <c r="E652">
        <v>5</v>
      </c>
      <c r="F652" t="s">
        <v>31</v>
      </c>
      <c r="G652" t="s">
        <v>28</v>
      </c>
      <c r="H652" t="s">
        <v>15</v>
      </c>
      <c r="I652">
        <v>2</v>
      </c>
      <c r="J652" t="s">
        <v>47</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3">
        <v>60000</v>
      </c>
      <c r="E661">
        <v>4</v>
      </c>
      <c r="F661" t="s">
        <v>13</v>
      </c>
      <c r="G661" t="s">
        <v>28</v>
      </c>
      <c r="H661" t="s">
        <v>15</v>
      </c>
      <c r="I661">
        <v>2</v>
      </c>
      <c r="J661" t="s">
        <v>47</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3">
        <v>40000</v>
      </c>
      <c r="E669">
        <v>5</v>
      </c>
      <c r="F669" t="s">
        <v>27</v>
      </c>
      <c r="G669" t="s">
        <v>21</v>
      </c>
      <c r="H669" t="s">
        <v>18</v>
      </c>
      <c r="I669">
        <v>2</v>
      </c>
      <c r="J669" t="s">
        <v>47</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3">
        <v>70000</v>
      </c>
      <c r="E672">
        <v>2</v>
      </c>
      <c r="F672" t="s">
        <v>19</v>
      </c>
      <c r="G672" t="s">
        <v>21</v>
      </c>
      <c r="H672" t="s">
        <v>15</v>
      </c>
      <c r="I672">
        <v>1</v>
      </c>
      <c r="J672" t="s">
        <v>47</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47</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3">
        <v>70000</v>
      </c>
      <c r="E707">
        <v>4</v>
      </c>
      <c r="F707" t="s">
        <v>13</v>
      </c>
      <c r="G707" t="s">
        <v>28</v>
      </c>
      <c r="H707" t="s">
        <v>15</v>
      </c>
      <c r="I707">
        <v>1</v>
      </c>
      <c r="J707" t="s">
        <v>47</v>
      </c>
      <c r="K707" t="s">
        <v>32</v>
      </c>
      <c r="L707">
        <v>59</v>
      </c>
      <c r="M707" t="str">
        <f t="shared" ref="M707:M770" si="11">IF(L707&gt;54,"Old", IF( L707&gt;= 31,"Middle Age", IF( L707&lt;31, "Adolescent","Invalid")))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3">
        <v>70000</v>
      </c>
      <c r="E710">
        <v>5</v>
      </c>
      <c r="F710" t="s">
        <v>13</v>
      </c>
      <c r="G710" t="s">
        <v>28</v>
      </c>
      <c r="H710" t="s">
        <v>15</v>
      </c>
      <c r="I710">
        <v>4</v>
      </c>
      <c r="J710" t="s">
        <v>47</v>
      </c>
      <c r="K710" t="s">
        <v>32</v>
      </c>
      <c r="L710">
        <v>60</v>
      </c>
      <c r="M710" t="str">
        <f t="shared" si="11"/>
        <v>Old</v>
      </c>
      <c r="N710" t="s">
        <v>18</v>
      </c>
    </row>
    <row r="711" spans="1:14" x14ac:dyDescent="0.3">
      <c r="A711">
        <v>23712</v>
      </c>
      <c r="B711" t="s">
        <v>37</v>
      </c>
      <c r="C711" t="s">
        <v>39</v>
      </c>
      <c r="D711" s="3">
        <v>70000</v>
      </c>
      <c r="E711">
        <v>2</v>
      </c>
      <c r="F711" t="s">
        <v>13</v>
      </c>
      <c r="G711" t="s">
        <v>28</v>
      </c>
      <c r="H711" t="s">
        <v>15</v>
      </c>
      <c r="I711">
        <v>1</v>
      </c>
      <c r="J711" t="s">
        <v>47</v>
      </c>
      <c r="K711" t="s">
        <v>32</v>
      </c>
      <c r="L711">
        <v>59</v>
      </c>
      <c r="M711"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3">
        <v>70000</v>
      </c>
      <c r="E713">
        <v>2</v>
      </c>
      <c r="F713" t="s">
        <v>19</v>
      </c>
      <c r="G713" t="s">
        <v>21</v>
      </c>
      <c r="H713" t="s">
        <v>15</v>
      </c>
      <c r="I713">
        <v>1</v>
      </c>
      <c r="J713" t="s">
        <v>47</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3">
        <v>60000</v>
      </c>
      <c r="E741">
        <v>2</v>
      </c>
      <c r="F741" t="s">
        <v>19</v>
      </c>
      <c r="G741" t="s">
        <v>21</v>
      </c>
      <c r="H741" t="s">
        <v>15</v>
      </c>
      <c r="I741">
        <v>1</v>
      </c>
      <c r="J741" t="s">
        <v>47</v>
      </c>
      <c r="K741" t="s">
        <v>32</v>
      </c>
      <c r="L741">
        <v>55</v>
      </c>
      <c r="M741" t="str">
        <f t="shared" si="11"/>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3">
        <v>70000</v>
      </c>
      <c r="E746">
        <v>4</v>
      </c>
      <c r="F746" t="s">
        <v>19</v>
      </c>
      <c r="G746" t="s">
        <v>21</v>
      </c>
      <c r="H746" t="s">
        <v>15</v>
      </c>
      <c r="I746">
        <v>1</v>
      </c>
      <c r="J746" t="s">
        <v>47</v>
      </c>
      <c r="K746" t="s">
        <v>32</v>
      </c>
      <c r="L746">
        <v>56</v>
      </c>
      <c r="M74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3">
        <v>60000</v>
      </c>
      <c r="E748">
        <v>2</v>
      </c>
      <c r="F748" t="s">
        <v>13</v>
      </c>
      <c r="G748" t="s">
        <v>28</v>
      </c>
      <c r="H748" t="s">
        <v>15</v>
      </c>
      <c r="I748">
        <v>0</v>
      </c>
      <c r="J748" t="s">
        <v>47</v>
      </c>
      <c r="K748" t="s">
        <v>32</v>
      </c>
      <c r="L748">
        <v>56</v>
      </c>
      <c r="M748"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3">
        <v>60000</v>
      </c>
      <c r="E763">
        <v>5</v>
      </c>
      <c r="F763" t="s">
        <v>13</v>
      </c>
      <c r="G763" t="s">
        <v>28</v>
      </c>
      <c r="H763" t="s">
        <v>15</v>
      </c>
      <c r="I763">
        <v>3</v>
      </c>
      <c r="J763" t="s">
        <v>47</v>
      </c>
      <c r="K763" t="s">
        <v>32</v>
      </c>
      <c r="L763">
        <v>59</v>
      </c>
      <c r="M763"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3">
        <v>50000</v>
      </c>
      <c r="E768">
        <v>4</v>
      </c>
      <c r="F768" t="s">
        <v>13</v>
      </c>
      <c r="G768" t="s">
        <v>14</v>
      </c>
      <c r="H768" t="s">
        <v>15</v>
      </c>
      <c r="I768">
        <v>3</v>
      </c>
      <c r="J768" t="s">
        <v>47</v>
      </c>
      <c r="K768" t="s">
        <v>32</v>
      </c>
      <c r="L768">
        <v>42</v>
      </c>
      <c r="M768" t="str">
        <f t="shared" si="11"/>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IF(L771&gt;54,"Old", IF( L771&gt;= 31,"Middle Age", IF( L771&lt;31, "Adolescent","Invalid")))</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3">
        <v>70000</v>
      </c>
      <c r="E777">
        <v>2</v>
      </c>
      <c r="F777" t="s">
        <v>29</v>
      </c>
      <c r="G777" t="s">
        <v>14</v>
      </c>
      <c r="H777" t="s">
        <v>15</v>
      </c>
      <c r="I777">
        <v>2</v>
      </c>
      <c r="J777" t="s">
        <v>47</v>
      </c>
      <c r="K777" t="s">
        <v>32</v>
      </c>
      <c r="L777">
        <v>54</v>
      </c>
      <c r="M777" t="str">
        <f t="shared" si="12"/>
        <v>Middle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3">
        <v>60000</v>
      </c>
      <c r="E782">
        <v>2</v>
      </c>
      <c r="F782" t="s">
        <v>19</v>
      </c>
      <c r="G782" t="s">
        <v>21</v>
      </c>
      <c r="H782" t="s">
        <v>15</v>
      </c>
      <c r="I782">
        <v>1</v>
      </c>
      <c r="J782" t="s">
        <v>47</v>
      </c>
      <c r="K782" t="s">
        <v>32</v>
      </c>
      <c r="L782">
        <v>55</v>
      </c>
      <c r="M782" t="str">
        <f t="shared" si="12"/>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3">
        <v>70000</v>
      </c>
      <c r="E814">
        <v>4</v>
      </c>
      <c r="F814" t="s">
        <v>13</v>
      </c>
      <c r="G814" t="s">
        <v>28</v>
      </c>
      <c r="H814" t="s">
        <v>15</v>
      </c>
      <c r="I814">
        <v>2</v>
      </c>
      <c r="J814" t="s">
        <v>47</v>
      </c>
      <c r="K814" t="s">
        <v>32</v>
      </c>
      <c r="L814">
        <v>61</v>
      </c>
      <c r="M814" t="str">
        <f t="shared" si="12"/>
        <v>Old</v>
      </c>
      <c r="N814" t="s">
        <v>18</v>
      </c>
    </row>
    <row r="815" spans="1:14" x14ac:dyDescent="0.3">
      <c r="A815">
        <v>25899</v>
      </c>
      <c r="B815" t="s">
        <v>36</v>
      </c>
      <c r="C815" t="s">
        <v>39</v>
      </c>
      <c r="D815" s="3">
        <v>70000</v>
      </c>
      <c r="E815">
        <v>2</v>
      </c>
      <c r="F815" t="s">
        <v>27</v>
      </c>
      <c r="G815" t="s">
        <v>21</v>
      </c>
      <c r="H815" t="s">
        <v>15</v>
      </c>
      <c r="I815">
        <v>2</v>
      </c>
      <c r="J815" t="s">
        <v>47</v>
      </c>
      <c r="K815" t="s">
        <v>32</v>
      </c>
      <c r="L815">
        <v>53</v>
      </c>
      <c r="M815" t="str">
        <f t="shared" si="12"/>
        <v>Middle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IF(L835&gt;54,"Old", IF( L835&gt;= 31,"Middle Age", IF( L835&lt;31, "Adolescent","Invalid")))</f>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3">
        <v>70000</v>
      </c>
      <c r="E842">
        <v>4</v>
      </c>
      <c r="F842" t="s">
        <v>19</v>
      </c>
      <c r="G842" t="s">
        <v>21</v>
      </c>
      <c r="H842" t="s">
        <v>15</v>
      </c>
      <c r="I842">
        <v>2</v>
      </c>
      <c r="J842" t="s">
        <v>47</v>
      </c>
      <c r="K842" t="s">
        <v>32</v>
      </c>
      <c r="L842">
        <v>53</v>
      </c>
      <c r="M842" t="str">
        <f t="shared" si="13"/>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3">
        <v>40000</v>
      </c>
      <c r="E846">
        <v>5</v>
      </c>
      <c r="F846" t="s">
        <v>27</v>
      </c>
      <c r="G846" t="s">
        <v>21</v>
      </c>
      <c r="H846" t="s">
        <v>15</v>
      </c>
      <c r="I846">
        <v>2</v>
      </c>
      <c r="J846" t="s">
        <v>47</v>
      </c>
      <c r="K846" t="s">
        <v>32</v>
      </c>
      <c r="L846">
        <v>60</v>
      </c>
      <c r="M846"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3">
        <v>60000</v>
      </c>
      <c r="E868">
        <v>2</v>
      </c>
      <c r="F868" t="s">
        <v>27</v>
      </c>
      <c r="G868" t="s">
        <v>21</v>
      </c>
      <c r="H868" t="s">
        <v>15</v>
      </c>
      <c r="I868">
        <v>2</v>
      </c>
      <c r="J868" t="s">
        <v>47</v>
      </c>
      <c r="K868" t="s">
        <v>32</v>
      </c>
      <c r="L868">
        <v>55</v>
      </c>
      <c r="M868" t="str">
        <f t="shared" si="13"/>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3">
        <v>30000</v>
      </c>
      <c r="E870">
        <v>5</v>
      </c>
      <c r="F870" t="s">
        <v>29</v>
      </c>
      <c r="G870" t="s">
        <v>14</v>
      </c>
      <c r="H870" t="s">
        <v>15</v>
      </c>
      <c r="I870">
        <v>3</v>
      </c>
      <c r="J870" t="s">
        <v>47</v>
      </c>
      <c r="K870" t="s">
        <v>32</v>
      </c>
      <c r="L870">
        <v>60</v>
      </c>
      <c r="M870"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3">
        <v>60000</v>
      </c>
      <c r="E873">
        <v>2</v>
      </c>
      <c r="F873" t="s">
        <v>27</v>
      </c>
      <c r="G873" t="s">
        <v>21</v>
      </c>
      <c r="H873" t="s">
        <v>15</v>
      </c>
      <c r="I873">
        <v>2</v>
      </c>
      <c r="J873" t="s">
        <v>47</v>
      </c>
      <c r="K873" t="s">
        <v>32</v>
      </c>
      <c r="L873">
        <v>55</v>
      </c>
      <c r="M873" t="str">
        <f t="shared" si="13"/>
        <v>Old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IF(L899&gt;54,"Old", IF( L899&gt;= 31,"Middle Age", IF( L899&lt;31, "Adolescent","Invalid")))</f>
        <v>Adolescent</v>
      </c>
      <c r="N899" t="s">
        <v>18</v>
      </c>
    </row>
    <row r="900" spans="1:14" x14ac:dyDescent="0.3">
      <c r="A900">
        <v>18066</v>
      </c>
      <c r="B900" t="s">
        <v>37</v>
      </c>
      <c r="C900" t="s">
        <v>38</v>
      </c>
      <c r="D900" s="3">
        <v>70000</v>
      </c>
      <c r="E900">
        <v>5</v>
      </c>
      <c r="F900" t="s">
        <v>13</v>
      </c>
      <c r="G900" t="s">
        <v>28</v>
      </c>
      <c r="H900" t="s">
        <v>15</v>
      </c>
      <c r="I900">
        <v>3</v>
      </c>
      <c r="J900" t="s">
        <v>47</v>
      </c>
      <c r="K900" t="s">
        <v>32</v>
      </c>
      <c r="L900">
        <v>60</v>
      </c>
      <c r="M900" t="str">
        <f t="shared" si="14"/>
        <v>Old</v>
      </c>
      <c r="N900" t="s">
        <v>15</v>
      </c>
    </row>
    <row r="901" spans="1:14" x14ac:dyDescent="0.3">
      <c r="A901">
        <v>28192</v>
      </c>
      <c r="B901" t="s">
        <v>36</v>
      </c>
      <c r="C901" t="s">
        <v>39</v>
      </c>
      <c r="D901" s="3">
        <v>70000</v>
      </c>
      <c r="E901">
        <v>5</v>
      </c>
      <c r="F901" t="s">
        <v>31</v>
      </c>
      <c r="G901" t="s">
        <v>21</v>
      </c>
      <c r="H901" t="s">
        <v>15</v>
      </c>
      <c r="I901">
        <v>3</v>
      </c>
      <c r="J901" t="s">
        <v>47</v>
      </c>
      <c r="K901" t="s">
        <v>32</v>
      </c>
      <c r="L901">
        <v>46</v>
      </c>
      <c r="M901" t="str">
        <f t="shared" si="14"/>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3">
        <v>50000</v>
      </c>
      <c r="E909">
        <v>4</v>
      </c>
      <c r="F909" t="s">
        <v>13</v>
      </c>
      <c r="G909" t="s">
        <v>28</v>
      </c>
      <c r="H909" t="s">
        <v>15</v>
      </c>
      <c r="I909">
        <v>2</v>
      </c>
      <c r="J909" t="s">
        <v>47</v>
      </c>
      <c r="K909" t="s">
        <v>32</v>
      </c>
      <c r="L909">
        <v>63</v>
      </c>
      <c r="M909"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3">
        <v>60000</v>
      </c>
      <c r="E917">
        <v>3</v>
      </c>
      <c r="F917" t="s">
        <v>31</v>
      </c>
      <c r="G917" t="s">
        <v>28</v>
      </c>
      <c r="H917" t="s">
        <v>15</v>
      </c>
      <c r="I917">
        <v>2</v>
      </c>
      <c r="J917" t="s">
        <v>47</v>
      </c>
      <c r="K917" t="s">
        <v>32</v>
      </c>
      <c r="L917">
        <v>64</v>
      </c>
      <c r="M917"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3">
        <v>40000</v>
      </c>
      <c r="E921">
        <v>4</v>
      </c>
      <c r="F921" t="s">
        <v>27</v>
      </c>
      <c r="G921" t="s">
        <v>21</v>
      </c>
      <c r="H921" t="s">
        <v>15</v>
      </c>
      <c r="I921">
        <v>2</v>
      </c>
      <c r="J921" t="s">
        <v>47</v>
      </c>
      <c r="K921" t="s">
        <v>32</v>
      </c>
      <c r="L921">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3">
        <v>40000</v>
      </c>
      <c r="E928">
        <v>2</v>
      </c>
      <c r="F928" t="s">
        <v>27</v>
      </c>
      <c r="G928" t="s">
        <v>21</v>
      </c>
      <c r="H928" t="s">
        <v>15</v>
      </c>
      <c r="I928">
        <v>2</v>
      </c>
      <c r="J928" t="s">
        <v>47</v>
      </c>
      <c r="K928" t="s">
        <v>32</v>
      </c>
      <c r="L928">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3">
        <v>70000</v>
      </c>
      <c r="E932">
        <v>5</v>
      </c>
      <c r="F932" t="s">
        <v>31</v>
      </c>
      <c r="G932" t="s">
        <v>21</v>
      </c>
      <c r="H932" t="s">
        <v>18</v>
      </c>
      <c r="I932">
        <v>3</v>
      </c>
      <c r="J932" t="s">
        <v>47</v>
      </c>
      <c r="K932" t="s">
        <v>32</v>
      </c>
      <c r="L932">
        <v>47</v>
      </c>
      <c r="M932" t="str">
        <f t="shared" si="14"/>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3">
        <v>70000</v>
      </c>
      <c r="E951">
        <v>2</v>
      </c>
      <c r="F951" t="s">
        <v>29</v>
      </c>
      <c r="G951" t="s">
        <v>14</v>
      </c>
      <c r="H951" t="s">
        <v>15</v>
      </c>
      <c r="I951">
        <v>2</v>
      </c>
      <c r="J951" t="s">
        <v>47</v>
      </c>
      <c r="K951" t="s">
        <v>32</v>
      </c>
      <c r="L951">
        <v>53</v>
      </c>
      <c r="M951" t="str">
        <f t="shared" si="14"/>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IF(L963&gt;54,"Old", IF( L963&gt;= 31,"Middle Age", IF( L963&lt;31, "Adolescent","Invalid")))</f>
        <v>Old</v>
      </c>
      <c r="N963" t="s">
        <v>18</v>
      </c>
    </row>
    <row r="964" spans="1:14" x14ac:dyDescent="0.3">
      <c r="A964">
        <v>16813</v>
      </c>
      <c r="B964" t="s">
        <v>36</v>
      </c>
      <c r="C964" t="s">
        <v>38</v>
      </c>
      <c r="D964" s="3">
        <v>60000</v>
      </c>
      <c r="E964">
        <v>2</v>
      </c>
      <c r="F964" t="s">
        <v>19</v>
      </c>
      <c r="G964" t="s">
        <v>21</v>
      </c>
      <c r="H964" t="s">
        <v>15</v>
      </c>
      <c r="I964">
        <v>2</v>
      </c>
      <c r="J964" t="s">
        <v>47</v>
      </c>
      <c r="K964" t="s">
        <v>32</v>
      </c>
      <c r="L964">
        <v>55</v>
      </c>
      <c r="M964" t="str">
        <f t="shared" si="15"/>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3">
        <v>70000</v>
      </c>
      <c r="E966">
        <v>4</v>
      </c>
      <c r="F966" t="s">
        <v>19</v>
      </c>
      <c r="G966" t="s">
        <v>21</v>
      </c>
      <c r="H966" t="s">
        <v>15</v>
      </c>
      <c r="I966">
        <v>1</v>
      </c>
      <c r="J966" t="s">
        <v>47</v>
      </c>
      <c r="K966" t="s">
        <v>32</v>
      </c>
      <c r="L966">
        <v>56</v>
      </c>
      <c r="M96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3">
        <v>60000</v>
      </c>
      <c r="E978">
        <v>3</v>
      </c>
      <c r="F978" t="s">
        <v>13</v>
      </c>
      <c r="G978" t="s">
        <v>28</v>
      </c>
      <c r="H978" t="s">
        <v>15</v>
      </c>
      <c r="I978">
        <v>2</v>
      </c>
      <c r="J978" t="s">
        <v>47</v>
      </c>
      <c r="K978" t="s">
        <v>32</v>
      </c>
      <c r="L978">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3">
        <v>80000</v>
      </c>
      <c r="E982">
        <v>3</v>
      </c>
      <c r="F982" t="s">
        <v>13</v>
      </c>
      <c r="G982" t="s">
        <v>14</v>
      </c>
      <c r="H982" t="s">
        <v>15</v>
      </c>
      <c r="I982">
        <v>3</v>
      </c>
      <c r="J982" t="s">
        <v>47</v>
      </c>
      <c r="K982" t="s">
        <v>32</v>
      </c>
      <c r="L982">
        <v>40</v>
      </c>
      <c r="M982" t="str">
        <f t="shared" si="15"/>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3">
        <v>40000</v>
      </c>
      <c r="E988">
        <v>5</v>
      </c>
      <c r="F988" t="s">
        <v>27</v>
      </c>
      <c r="G988" t="s">
        <v>21</v>
      </c>
      <c r="H988" t="s">
        <v>15</v>
      </c>
      <c r="I988">
        <v>4</v>
      </c>
      <c r="J988" t="s">
        <v>47</v>
      </c>
      <c r="K988" t="s">
        <v>32</v>
      </c>
      <c r="L988">
        <v>60</v>
      </c>
      <c r="M988" t="str">
        <f t="shared" si="15"/>
        <v>Old</v>
      </c>
      <c r="N988" t="s">
        <v>15</v>
      </c>
    </row>
    <row r="989" spans="1:14" x14ac:dyDescent="0.3">
      <c r="A989">
        <v>28972</v>
      </c>
      <c r="B989" t="s">
        <v>37</v>
      </c>
      <c r="C989" t="s">
        <v>39</v>
      </c>
      <c r="D989" s="3">
        <v>60000</v>
      </c>
      <c r="E989">
        <v>3</v>
      </c>
      <c r="F989" t="s">
        <v>31</v>
      </c>
      <c r="G989" t="s">
        <v>28</v>
      </c>
      <c r="H989" t="s">
        <v>15</v>
      </c>
      <c r="I989">
        <v>2</v>
      </c>
      <c r="J989" t="s">
        <v>47</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47</v>
      </c>
      <c r="K990" t="s">
        <v>32</v>
      </c>
      <c r="L990">
        <v>63</v>
      </c>
      <c r="M990" t="str">
        <f t="shared" si="15"/>
        <v>Old</v>
      </c>
      <c r="N990" t="s">
        <v>18</v>
      </c>
    </row>
    <row r="991" spans="1:14" x14ac:dyDescent="0.3">
      <c r="A991">
        <v>29134</v>
      </c>
      <c r="B991" t="s">
        <v>36</v>
      </c>
      <c r="C991" t="s">
        <v>38</v>
      </c>
      <c r="D991" s="3">
        <v>60000</v>
      </c>
      <c r="E991">
        <v>4</v>
      </c>
      <c r="F991" t="s">
        <v>13</v>
      </c>
      <c r="G991" t="s">
        <v>14</v>
      </c>
      <c r="H991" t="s">
        <v>18</v>
      </c>
      <c r="I991">
        <v>3</v>
      </c>
      <c r="J991" t="s">
        <v>47</v>
      </c>
      <c r="K991" t="s">
        <v>32</v>
      </c>
      <c r="L991">
        <v>42</v>
      </c>
      <c r="M991" t="str">
        <f t="shared" si="15"/>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3">
        <v>60000</v>
      </c>
      <c r="E1001">
        <v>3</v>
      </c>
      <c r="F1001" t="s">
        <v>27</v>
      </c>
      <c r="G1001" t="s">
        <v>21</v>
      </c>
      <c r="H1001" t="s">
        <v>15</v>
      </c>
      <c r="I1001">
        <v>2</v>
      </c>
      <c r="J1001" t="s">
        <v>47</v>
      </c>
      <c r="K1001" t="s">
        <v>32</v>
      </c>
      <c r="L1001">
        <v>53</v>
      </c>
      <c r="M1001" t="str">
        <f t="shared" si="15"/>
        <v>Middle Age</v>
      </c>
      <c r="N1001" t="s">
        <v>15</v>
      </c>
    </row>
  </sheetData>
  <autoFilter ref="A1:N1001" xr:uid="{DC282D41-F93B-4F85-B42C-CCC35025A69D}"/>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862A9-5ADA-482B-A626-1B0B9C46EA72}">
  <dimension ref="A1:V6"/>
  <sheetViews>
    <sheetView showGridLines="0" tabSelected="1" zoomScale="62" workbookViewId="0">
      <selection activeCell="C35" sqref="C35"/>
    </sheetView>
  </sheetViews>
  <sheetFormatPr defaultRowHeight="14.4" x14ac:dyDescent="0.3"/>
  <sheetData>
    <row r="1" spans="1:22" x14ac:dyDescent="0.3">
      <c r="A1" s="7" t="s">
        <v>51</v>
      </c>
      <c r="B1" s="7"/>
      <c r="C1" s="7"/>
      <c r="D1" s="7"/>
      <c r="E1" s="7"/>
      <c r="F1" s="7"/>
      <c r="G1" s="7"/>
      <c r="H1" s="7"/>
      <c r="I1" s="7"/>
      <c r="J1" s="7"/>
      <c r="K1" s="7"/>
      <c r="L1" s="7"/>
      <c r="M1" s="7"/>
      <c r="N1" s="7"/>
      <c r="O1" s="7"/>
      <c r="P1" s="7"/>
      <c r="Q1" s="7"/>
      <c r="R1" s="7"/>
      <c r="S1" s="7"/>
      <c r="T1" s="7"/>
      <c r="U1" s="7"/>
      <c r="V1" s="7"/>
    </row>
    <row r="2" spans="1:22" ht="14.4" customHeight="1" x14ac:dyDescent="0.3">
      <c r="A2" s="7"/>
      <c r="B2" s="7"/>
      <c r="C2" s="7"/>
      <c r="D2" s="7"/>
      <c r="E2" s="7"/>
      <c r="F2" s="7"/>
      <c r="G2" s="7"/>
      <c r="H2" s="7"/>
      <c r="I2" s="7"/>
      <c r="J2" s="7"/>
      <c r="K2" s="7"/>
      <c r="L2" s="7"/>
      <c r="M2" s="7"/>
      <c r="N2" s="7"/>
      <c r="O2" s="7"/>
      <c r="P2" s="7"/>
      <c r="Q2" s="7"/>
      <c r="R2" s="7"/>
      <c r="S2" s="7"/>
      <c r="T2" s="7"/>
      <c r="U2" s="7"/>
      <c r="V2" s="7"/>
    </row>
    <row r="3" spans="1:22" ht="14.4" customHeight="1" x14ac:dyDescent="0.3">
      <c r="A3" s="7"/>
      <c r="B3" s="7"/>
      <c r="C3" s="7"/>
      <c r="D3" s="7"/>
      <c r="E3" s="7"/>
      <c r="F3" s="7"/>
      <c r="G3" s="7"/>
      <c r="H3" s="7"/>
      <c r="I3" s="7"/>
      <c r="J3" s="7"/>
      <c r="K3" s="7"/>
      <c r="L3" s="7"/>
      <c r="M3" s="7"/>
      <c r="N3" s="7"/>
      <c r="O3" s="7"/>
      <c r="P3" s="7"/>
      <c r="Q3" s="7"/>
      <c r="R3" s="7"/>
      <c r="S3" s="7"/>
      <c r="T3" s="7"/>
      <c r="U3" s="7"/>
      <c r="V3" s="7"/>
    </row>
    <row r="4" spans="1:22" ht="61.2" customHeight="1" x14ac:dyDescent="0.3">
      <c r="A4" s="7"/>
      <c r="B4" s="7"/>
      <c r="C4" s="7"/>
      <c r="D4" s="7"/>
      <c r="E4" s="7"/>
      <c r="F4" s="7"/>
      <c r="G4" s="7"/>
      <c r="H4" s="7"/>
      <c r="I4" s="7"/>
      <c r="J4" s="7"/>
      <c r="K4" s="7"/>
      <c r="L4" s="7"/>
      <c r="M4" s="7"/>
      <c r="N4" s="7"/>
      <c r="O4" s="7"/>
      <c r="P4" s="7"/>
      <c r="Q4" s="7"/>
      <c r="R4" s="7"/>
      <c r="S4" s="7"/>
      <c r="T4" s="7"/>
      <c r="U4" s="7"/>
      <c r="V4" s="7"/>
    </row>
    <row r="5" spans="1:22" ht="14.4" customHeight="1" x14ac:dyDescent="0.3">
      <c r="A5" s="7"/>
      <c r="B5" s="7"/>
      <c r="C5" s="7"/>
      <c r="D5" s="7"/>
      <c r="E5" s="7"/>
      <c r="F5" s="7"/>
      <c r="G5" s="7"/>
      <c r="H5" s="7"/>
      <c r="I5" s="7"/>
      <c r="J5" s="7"/>
      <c r="K5" s="7"/>
      <c r="L5" s="7"/>
      <c r="M5" s="7"/>
      <c r="N5" s="7"/>
      <c r="O5" s="7"/>
      <c r="P5" s="7"/>
      <c r="Q5" s="7"/>
      <c r="R5" s="7"/>
      <c r="S5" s="7"/>
      <c r="T5" s="7"/>
      <c r="U5" s="7"/>
      <c r="V5" s="7"/>
    </row>
    <row r="6" spans="1:22" ht="14.4" customHeight="1" x14ac:dyDescent="0.3">
      <c r="A6" s="7"/>
      <c r="B6" s="7"/>
      <c r="C6" s="7"/>
      <c r="D6" s="7"/>
      <c r="E6" s="7"/>
      <c r="F6" s="7"/>
      <c r="G6" s="7"/>
      <c r="H6" s="7"/>
      <c r="I6" s="7"/>
      <c r="J6" s="7"/>
      <c r="K6" s="7"/>
      <c r="L6" s="7"/>
      <c r="M6" s="7"/>
      <c r="N6" s="7"/>
      <c r="O6" s="7"/>
      <c r="P6" s="7"/>
      <c r="Q6" s="7"/>
      <c r="R6" s="7"/>
      <c r="S6" s="7"/>
      <c r="T6" s="7"/>
      <c r="U6" s="7"/>
      <c r="V6" s="7"/>
    </row>
  </sheetData>
  <mergeCells count="1">
    <mergeCell ref="A1:V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Pivot</vt:lpstr>
      <vt:lpstr>Working Sheet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Anish</dc:creator>
  <cp:lastModifiedBy>Anish Patil</cp:lastModifiedBy>
  <dcterms:created xsi:type="dcterms:W3CDTF">2022-03-18T02:50:57Z</dcterms:created>
  <dcterms:modified xsi:type="dcterms:W3CDTF">2026-10-04T07:49:14Z</dcterms:modified>
</cp:coreProperties>
</file>